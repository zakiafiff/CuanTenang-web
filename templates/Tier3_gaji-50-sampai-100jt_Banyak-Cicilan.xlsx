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Transaksi" sheetId="2" state="visible" r:id="rId4"/>
    <sheet name="Dashboard" sheetId="3" state="visible" r:id="rId5"/>
    <sheet name="Cici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<sst xmlns="http://schemas.openxmlformats.org/spreadsheetml/2006/main" count="204" uniqueCount="155">
  <si>
    <t xml:space="preserve">Template Keuangan - Banyak Cicilan</t>
  </si>
  <si>
    <t xml:space="preserve">Tier 3: di atas Rp50.000.000 sampai Rp100.000.000 per bulan (di atas Rp600.000.000 sampai Rp1,2 miliar per tahun)</t>
  </si>
  <si>
    <t xml:space="preserve">Cara pakai (5 langkah)</t>
  </si>
  <si>
    <t xml:space="preserve">1. Isi gaji bersihmu di sel kuning di bawah. Persentase alokasi menyesuaikan otomatis dengan gajimu.</t>
  </si>
  <si>
    <t xml:space="preserve">2. Buka sheet 'Cicilan', timpa 3 baris contoh dengan cicilan/utangmu. Rasio dan urutan pelunasan terisi otomatis.</t>
  </si>
  <si>
    <t xml:space="preserve">3. Catat setiap pemasukan dan pengeluaran di sheet 'Transaksi'.</t>
  </si>
  <si>
    <t xml:space="preserve">4. Lihat hasilnya di sheet 'Dashboard'. Ganti bulan di sel B3 untuk melihat bulan lain.</t>
  </si>
  <si>
    <t xml:space="preserve">5. Mau ubah persentase? Edit tabel 'Profil alokasi' di bagian bawah sheet ini.</t>
  </si>
  <si>
    <t xml:space="preserve">Warna: biru = boleh diisi/diubah, latar kuning = sel penting, hitam = otomatis (jangan dihapus).</t>
  </si>
  <si>
    <t xml:space="preserve">Isi di sini</t>
  </si>
  <si>
    <t xml:space="preserve">Gaji bersih per bulan</t>
  </si>
  <si>
    <t xml:space="preserve">&lt;- contoh, ganti dengan gajimu</t>
  </si>
  <si>
    <t xml:space="preserve">Penghasilan lain per bulan</t>
  </si>
  <si>
    <t xml:space="preserve">Total penghasilan per bulan</t>
  </si>
  <si>
    <t xml:space="preserve">Total penghasilan per tahun</t>
  </si>
  <si>
    <t xml:space="preserve">Tahun pencatatan</t>
  </si>
  <si>
    <t xml:space="preserve">Tier template ini</t>
  </si>
  <si>
    <t xml:space="preserve">Alokasi gajimu (otomatis dari tabel profil di bawah)</t>
  </si>
  <si>
    <t xml:space="preserve">Alokasi</t>
  </si>
  <si>
    <t xml:space="preserve">Persentase</t>
  </si>
  <si>
    <t xml:space="preserve">Nominal per bulan</t>
  </si>
  <si>
    <t xml:space="preserve">Nominal per tahun</t>
  </si>
  <si>
    <t xml:space="preserve">Cicilan &amp; utang</t>
  </si>
  <si>
    <t xml:space="preserve">Kebutuhan</t>
  </si>
  <si>
    <t xml:space="preserve">Keinginan</t>
  </si>
  <si>
    <t xml:space="preserve">Tabungan &amp; investasi</t>
  </si>
  <si>
    <t xml:space="preserve">Total</t>
  </si>
  <si>
    <t xml:space="preserve">Cek total persentase</t>
  </si>
  <si>
    <t xml:space="preserve">Profil alokasi menurut gaji (boleh diubah)</t>
  </si>
  <si>
    <t xml:space="preserve">Gaji sampai (per bulan)</t>
  </si>
  <si>
    <t xml:space="preserve">Baris profil yang dipakai (otomatis)</t>
  </si>
  <si>
    <t xml:space="preserve">Catatan asumsi:</t>
  </si>
  <si>
    <t xml:space="preserve">- Persentase adalah panduan umum (kerangka 50/30/20 yang disesuaikan menurut besar gaji), bukan hasil hitungan resmi dan bukan nasihat keuangan.</t>
  </si>
  <si>
    <t xml:space="preserve">- Program memilih baris profil pertama yang batas gajinya sama dengan atau di atas gajimu. Ubah angka biru untuk menyesuaikan.</t>
  </si>
  <si>
    <t xml:space="preserve">- Semua data tersimpan di file ini, di perangkatmu sendiri. Simpan salinan (backup) berkala.</t>
  </si>
  <si>
    <t xml:space="preserve">- Angka gaji, cicilan, dan saldo dana darurat di file ini hanya CONTOH.</t>
  </si>
  <si>
    <t xml:space="preserve">- Transaksi muat sekitar 1.000 baris. Kalau penuh atau ganti tahun, simpan salinan file dan mulai file baru.</t>
  </si>
  <si>
    <t xml:space="preserve">- Google Sheets: unggah file ke Google Drive, klik kanan, 'Buka dengan Google Sheets'.</t>
  </si>
  <si>
    <t xml:space="preserve">Transaksi</t>
  </si>
  <si>
    <t xml:space="preserve">Catat semua pemasukan dan pengeluaran di sini. Kolom hitam (F-H) terisi otomatis.</t>
  </si>
  <si>
    <t xml:space="preserve">Contoh pengisian (jangan diisi di baris ini):</t>
  </si>
  <si>
    <t xml:space="preserve">Pengeluaran</t>
  </si>
  <si>
    <t xml:space="preserve">Makan &amp; belanja dapur</t>
  </si>
  <si>
    <t xml:space="preserve">Belanja mingguan di pasar (contoh)</t>
  </si>
  <si>
    <t xml:space="preserve">Pemasukan: kategori boleh dikosongkan. Pengeluaran: pilih kategori dari daftar.</t>
  </si>
  <si>
    <t xml:space="preserve">Tanggal</t>
  </si>
  <si>
    <t xml:space="preserve">Jenis</t>
  </si>
  <si>
    <t xml:space="preserve">Kategori</t>
  </si>
  <si>
    <t xml:space="preserve">Keterangan</t>
  </si>
  <si>
    <t xml:space="preserve">Jumlah</t>
  </si>
  <si>
    <t xml:space="preserve">Bulan</t>
  </si>
  <si>
    <t xml:space="preserve">Tahun</t>
  </si>
  <si>
    <t xml:space="preserve">Kelompok</t>
  </si>
  <si>
    <t xml:space="preserve">Dashboard</t>
  </si>
  <si>
    <t xml:space="preserve">Semua hasil ada di sini dan terisi otomatis dari sheet 'Transaksi'.</t>
  </si>
  <si>
    <t xml:space="preserve">Bulan yang dilihat (1-12)</t>
  </si>
  <si>
    <t xml:space="preserve">Tahun:</t>
  </si>
  <si>
    <t xml:space="preserve">1. Ringkasan bulan ini per kelompok</t>
  </si>
  <si>
    <t xml:space="preserve">Alokasi (%)</t>
  </si>
  <si>
    <t xml:space="preserve">Total porsi (cek)</t>
  </si>
  <si>
    <t xml:space="preserve">Anggaran per bulan</t>
  </si>
  <si>
    <t xml:space="preserve">Realisasi bulan ini</t>
  </si>
  <si>
    <t xml:space="preserve">Sisa</t>
  </si>
  <si>
    <t xml:space="preserve">% terpakai</t>
  </si>
  <si>
    <t xml:space="preserve">Cek porsi</t>
  </si>
  <si>
    <t xml:space="preserve">Pemasukan bulan ini</t>
  </si>
  <si>
    <t xml:space="preserve">Total keluar bulan ini (semua kelompok)</t>
  </si>
  <si>
    <t xml:space="preserve">Sisa kas bulan ini</t>
  </si>
  <si>
    <t xml:space="preserve">2. Anggaran per kategori (angka biru = porsi, boleh diubah)</t>
  </si>
  <si>
    <t xml:space="preserve">Porsi dalam kelompok</t>
  </si>
  <si>
    <t xml:space="preserve">Status</t>
  </si>
  <si>
    <t xml:space="preserve">Cicilan rumah (KPR)</t>
  </si>
  <si>
    <t xml:space="preserve">Cicilan kendaraan</t>
  </si>
  <si>
    <t xml:space="preserve">Kartu kredit &amp; paylater</t>
  </si>
  <si>
    <t xml:space="preserve">Pinjaman lain</t>
  </si>
  <si>
    <t xml:space="preserve">Sewa/tempat tinggal</t>
  </si>
  <si>
    <t xml:space="preserve">Transport</t>
  </si>
  <si>
    <t xml:space="preserve">Listrik, air &amp; internet</t>
  </si>
  <si>
    <t xml:space="preserve">Pulsa &amp; data</t>
  </si>
  <si>
    <t xml:space="preserve">Kesehatan</t>
  </si>
  <si>
    <t xml:space="preserve">Pendidikan</t>
  </si>
  <si>
    <t xml:space="preserve">Asuransi</t>
  </si>
  <si>
    <t xml:space="preserve">Pajak</t>
  </si>
  <si>
    <t xml:space="preserve">Zakat &amp; donasi</t>
  </si>
  <si>
    <t xml:space="preserve">Lain-lain kebutuhan</t>
  </si>
  <si>
    <t xml:space="preserve">Makan di luar &amp; nongkrong</t>
  </si>
  <si>
    <t xml:space="preserve">Hiburan &amp; langganan</t>
  </si>
  <si>
    <t xml:space="preserve">Belanja pribadi</t>
  </si>
  <si>
    <t xml:space="preserve">Hobi &amp; liburan</t>
  </si>
  <si>
    <t xml:space="preserve">Dana darurat</t>
  </si>
  <si>
    <t xml:space="preserve">Investasi</t>
  </si>
  <si>
    <t xml:space="preserve">Tabungan tujuan</t>
  </si>
  <si>
    <t xml:space="preserve">3. Ringkasan tahunan</t>
  </si>
  <si>
    <t xml:space="preserve">Pemasukan</t>
  </si>
  <si>
    <t xml:space="preserve">Total keluar</t>
  </si>
  <si>
    <t xml:space="preserve">Sisa kas</t>
  </si>
  <si>
    <t xml:space="preserve">Rasio tabungan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</si>
  <si>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</si>
  <si>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</si>
  <si>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</si>
  <si>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</si>
  <si>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</si>
  <si>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</si>
  <si>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</si>
  <si>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</si>
  <si>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</si>
  <si>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</si>
  <si>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</si>
  <si>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</si>
  <si>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 tahun</t>
  </si>
  <si>
    <t xml:space="preserve">Sisa kas = pemasukan dikurangi semua pengeluaran dan setoran tabungan. Rasio tabungan = tabungan &amp; investasi dibagi pemasukan.</t>
  </si>
  <si>
    <t xml:space="preserve">4. Dana darurat</t>
  </si>
  <si>
    <t xml:space="preserve">Target (jumlah bulan pengeluaran wajib)</t>
  </si>
  <si>
    <t xml:space="preserve">Pengeluaran wajib per bulan (kebutuhan + cicilan)</t>
  </si>
  <si>
    <t xml:space="preserve">Target dana darurat</t>
  </si>
  <si>
    <t xml:space="preserve">Dana darurat saat ini</t>
  </si>
  <si>
    <t xml:space="preserve">&lt;- contoh, ganti dengan saldomu</t>
  </si>
  <si>
    <t xml:space="preserve">Kekurangan</t>
  </si>
  <si>
    <t xml:space="preserve">Progres</t>
  </si>
  <si>
    <t xml:space="preserve">Setoran per bulan (dari anggaran 'Dana darurat')</t>
  </si>
  <si>
    <t xml:space="preserve">Perkiraan bulan sampai target</t>
  </si>
  <si>
    <t xml:space="preserve">Patokan umum jumlah bulan: lajang 3-6, berkeluarga 6-9, penghasilan tidak tetap 9-12. Ini asumsi, bukan nasihat keuangan.</t>
  </si>
  <si>
    <t xml:space="preserve">Jangan ubah nama kategori 'Dana darurat' di bagian 2, karena dibaca oleh bagian ini.</t>
  </si>
  <si>
    <t xml:space="preserve">Cicilan</t>
  </si>
  <si>
    <t xml:space="preserve">Isi daftar cicilan/utangmu. 3 baris pertama adalah CONTOH, timpa dengan datamu.</t>
  </si>
  <si>
    <t xml:space="preserve">1. Daftar cicilan</t>
  </si>
  <si>
    <t xml:space="preserve">Nama cicilan</t>
  </si>
  <si>
    <t xml:space="preserve">Sisa pokok (Rp)</t>
  </si>
  <si>
    <t xml:space="preserve">Bunga per tahun</t>
  </si>
  <si>
    <t xml:space="preserve">Cicilan per bulan (Rp)</t>
  </si>
  <si>
    <t xml:space="preserve">Sisa tenor (bulan)</t>
  </si>
  <si>
    <t xml:space="preserve">Jatuh tempo (tanggal)</t>
  </si>
  <si>
    <t xml:space="preserve">Urutan Avalanche</t>
  </si>
  <si>
    <t xml:space="preserve">Urutan Snowball</t>
  </si>
  <si>
    <t xml:space="preserve">KPR rumah</t>
  </si>
  <si>
    <t xml:space="preserve">KPR</t>
  </si>
  <si>
    <t xml:space="preserve">Mobil</t>
  </si>
  <si>
    <t xml:space="preserve">Kendaraan</t>
  </si>
  <si>
    <t xml:space="preserve">Kartu kredit</t>
  </si>
  <si>
    <t xml:space="preserve">2. Rasio cicilan dan status</t>
  </si>
  <si>
    <t xml:space="preserve">Total cicilan per bulan</t>
  </si>
  <si>
    <t xml:space="preserve">Rasio cicilan terhadap penghasilan</t>
  </si>
  <si>
    <t xml:space="preserve">Batas aman rasio cicilan</t>
  </si>
  <si>
    <t xml:space="preserve">Total sisa pokok utang</t>
  </si>
  <si>
    <t xml:space="preserve">Cicilan terlama (bulan)</t>
  </si>
  <si>
    <t xml:space="preserve">Ruang cicilan tersisa per bulan (sampai batas aman)</t>
  </si>
  <si>
    <t xml:space="preserve">3. Urutan pelunasan</t>
  </si>
  <si>
    <t xml:space="preserve">Urutan ke-</t>
  </si>
  <si>
    <t xml:space="preserve">Avalanche (bunga tertinggi dulu)</t>
  </si>
  <si>
    <t xml:space="preserve">Snowball (sisa pokok terkecil dulu)</t>
  </si>
  <si>
    <t xml:space="preserve">Asumsi: batas aman 30% adalah pedoman umum (bukan aturan resmi). Ubah di sel kuning kalau perlu.</t>
  </si>
  <si>
    <t xml:space="preserve">Status: Aman = rasio sampai batas; Waspada = sampai 10 poin di atas batas; Berat = lebih dari itu.</t>
  </si>
  <si>
    <t xml:space="preserve">Kalau status Waspada atau Berat, tunda cicilan baru dan fokus melunasi dulu.</t>
  </si>
  <si>
    <t xml:space="preserve">Avalanche paling hemat bunga; Snowball memberi rasa progres karena utang kecil lunas lebih cepat.</t>
  </si>
  <si>
    <t xml:space="preserve">Ini panduan umum, bukan nasihat keuangan.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</si>
</sst>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p &quot;#,##0;&quot;-Rp &quot;#,##0;\-"/>
    <numFmt numFmtId="166" formatCode="0"/>
    <numFmt numFmtId="167" formatCode="0%"/>
    <numFmt numFmtId="168" formatCode="[&gt;=900000000000]&quot;seterusnya&quot;;&quot;Rp &quot;#,##0"/>
    <numFmt numFmtId="169" formatCode="dd/mm/yyyy"/>
    <numFmt numFmtId="170" formatCode="0.0%"/>
    <numFmt numFmtId="171" formatCode="0.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Pemasukan vs Total Keluar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Dashboard!B43</c:f>
              <c:strCache>
                <c:ptCount val="1"/>
                <c:pt idx="0">
                  <c:v>Pemasukan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Dashboard!$A$44:$A$55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Dashboard!$B$44:$B$55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Dashboard!G43</c:f>
              <c:strCache>
                <c:ptCount val="1"/>
                <c:pt idx="0">
                  <c:v>Total keluar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Dashboard!$A$44:$A$55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Dashboard!$G$44:$G$55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6285744"/>
        <c:axId val="72144436"/>
      </c:barChart>
      <c:catAx>
        <c:axId val="1628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44436"/>
        <c:crosses val="autoZero"/>
        <c:auto val="1"/>
        <c:lblAlgn val="ctr"/>
        <c:lblOffset val="100"/>
        <c:noMultiLvlLbl val="0"/>
      </c:catAx>
      <c:valAx>
        <c:axId val="721444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p &quot;#,##0;&quot;-Rp 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857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57</xdr:row>
      <xdr:rowOff>160920</xdr:rowOff>
    </xdr:from>
    <xdr:to>
      <xdr:col>3</xdr:col>
      <xdr:colOff>1137960</xdr:colOff>
      <xdr:row>72</xdr:row>
      <xdr:rowOff>182880</xdr:rowOff>
    </xdr:to>
    <xdr:graphicFrame>
      <xdr:nvGraphicFramePr>
        <xdr:cNvPr id="0" name="Chart 1"/>
        <xdr:cNvGraphicFramePr/>
      </xdr:nvGraphicFramePr>
      <xdr:xfrm>
        <a:off x="0" y="11049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5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5" t="n">
        <v>75000000</v>
      </c>
      <c r="C13" s="2" t="s">
        <v>11</v>
      </c>
    </row>
    <row r="14" customFormat="false" ht="15" hidden="false" customHeight="false" outlineLevel="0" collapsed="false">
      <c r="A14" s="4" t="s">
        <v>12</v>
      </c>
      <c r="B14" s="6" t="n">
        <v>0</v>
      </c>
    </row>
    <row r="15" customFormat="false" ht="15" hidden="false" customHeight="false" outlineLevel="0" collapsed="false">
      <c r="A15" s="7" t="s">
        <v>13</v>
      </c>
      <c r="B15" s="8" t="n">
        <f aca="false">B13+B14</f>
        <v>75000000</v>
      </c>
    </row>
    <row r="16" customFormat="false" ht="15" hidden="false" customHeight="false" outlineLevel="0" collapsed="false">
      <c r="A16" s="7" t="s">
        <v>14</v>
      </c>
      <c r="B16" s="8" t="n">
        <f aca="false">B15*12</f>
        <v>900000000</v>
      </c>
    </row>
    <row r="17" customFormat="false" ht="15" hidden="false" customHeight="false" outlineLevel="0" collapsed="false">
      <c r="A17" s="4" t="s">
        <v>15</v>
      </c>
      <c r="B17" s="9" t="n">
        <v>2026</v>
      </c>
    </row>
    <row r="18" customFormat="false" ht="15" hidden="false" customHeight="false" outlineLevel="0" collapsed="false">
      <c r="A18" s="4" t="s">
        <v>16</v>
      </c>
      <c r="B18" s="4" t="s">
        <v>1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10" t="s">
        <v>18</v>
      </c>
      <c r="B21" s="10" t="s">
        <v>19</v>
      </c>
      <c r="C21" s="10" t="s">
        <v>20</v>
      </c>
      <c r="D21" s="10" t="s">
        <v>21</v>
      </c>
    </row>
    <row r="22" customFormat="false" ht="15" hidden="false" customHeight="false" outlineLevel="0" collapsed="false">
      <c r="A22" s="11" t="s">
        <v>22</v>
      </c>
      <c r="B22" s="12" t="n">
        <f aca="false">INDEX($B$32:$B$33,$B$34)</f>
        <v>0.25</v>
      </c>
      <c r="C22" s="13" t="n">
        <f aca="false">B22*$B$15</f>
        <v>18750000</v>
      </c>
      <c r="D22" s="13" t="n">
        <f aca="false">C22*12</f>
        <v>225000000</v>
      </c>
    </row>
    <row r="23" customFormat="false" ht="15" hidden="false" customHeight="false" outlineLevel="0" collapsed="false">
      <c r="A23" s="11" t="s">
        <v>23</v>
      </c>
      <c r="B23" s="12" t="n">
        <f aca="false">INDEX($C$32:$C$33,$B$34)</f>
        <v>0.2</v>
      </c>
      <c r="C23" s="13" t="n">
        <f aca="false">B23*$B$15</f>
        <v>15000000</v>
      </c>
      <c r="D23" s="13" t="n">
        <f aca="false">C23*12</f>
        <v>180000000</v>
      </c>
    </row>
    <row r="24" customFormat="false" ht="15" hidden="false" customHeight="false" outlineLevel="0" collapsed="false">
      <c r="A24" s="11" t="s">
        <v>24</v>
      </c>
      <c r="B24" s="12" t="n">
        <f aca="false">INDEX($D$32:$D$33,$B$34)</f>
        <v>0.2</v>
      </c>
      <c r="C24" s="13" t="n">
        <f aca="false">B24*$B$15</f>
        <v>15000000</v>
      </c>
      <c r="D24" s="13" t="n">
        <f aca="false">C24*12</f>
        <v>180000000</v>
      </c>
    </row>
    <row r="25" customFormat="false" ht="15" hidden="false" customHeight="false" outlineLevel="0" collapsed="false">
      <c r="A25" s="11" t="s">
        <v>25</v>
      </c>
      <c r="B25" s="12" t="n">
        <f aca="false">INDEX($E$32:$E$33,$B$34)</f>
        <v>0.35</v>
      </c>
      <c r="C25" s="13" t="n">
        <f aca="false">B25*$B$15</f>
        <v>26250000</v>
      </c>
      <c r="D25" s="13" t="n">
        <f aca="false">C25*12</f>
        <v>315000000</v>
      </c>
    </row>
    <row r="26" customFormat="false" ht="15" hidden="false" customHeight="false" outlineLevel="0" collapsed="false">
      <c r="A26" s="14" t="s">
        <v>26</v>
      </c>
      <c r="B26" s="15" t="n">
        <f aca="false">SUM(B22:B25)</f>
        <v>1</v>
      </c>
      <c r="C26" s="16" t="n">
        <f aca="false">SUM(C22:C25)</f>
        <v>75000000</v>
      </c>
      <c r="D26" s="16" t="n">
        <f aca="false">SUM(D22:D25)</f>
        <v>900000000</v>
      </c>
    </row>
    <row r="27" customFormat="false" ht="15" hidden="false" customHeight="false" outlineLevel="0" collapsed="false">
      <c r="A27" s="4" t="s">
        <v>27</v>
      </c>
      <c r="B27" s="7" t="str">
        <f aca="false">IF(ROUND(B26,4)=1,"OK","Harus 100%")</f>
        <v>OK</v>
      </c>
    </row>
    <row r="30" customFormat="false" ht="15" hidden="false" customHeight="false" outlineLevel="0" collapsed="false">
      <c r="A30" s="3" t="s">
        <v>28</v>
      </c>
    </row>
    <row r="31" customFormat="false" ht="15" hidden="false" customHeight="false" outlineLevel="0" collapsed="false">
      <c r="A31" s="10" t="s">
        <v>29</v>
      </c>
      <c r="B31" s="10" t="s">
        <v>22</v>
      </c>
      <c r="C31" s="10" t="s">
        <v>23</v>
      </c>
      <c r="D31" s="10" t="s">
        <v>24</v>
      </c>
      <c r="E31" s="10" t="s">
        <v>25</v>
      </c>
    </row>
    <row r="32" customFormat="false" ht="15" hidden="false" customHeight="false" outlineLevel="0" collapsed="false">
      <c r="A32" s="17" t="n">
        <v>75000000</v>
      </c>
      <c r="B32" s="18" t="n">
        <v>0.25</v>
      </c>
      <c r="C32" s="18" t="n">
        <v>0.2</v>
      </c>
      <c r="D32" s="18" t="n">
        <v>0.2</v>
      </c>
      <c r="E32" s="18" t="n">
        <v>0.35</v>
      </c>
    </row>
    <row r="33" customFormat="false" ht="15" hidden="false" customHeight="false" outlineLevel="0" collapsed="false">
      <c r="A33" s="17" t="n">
        <v>100000000</v>
      </c>
      <c r="B33" s="18" t="n">
        <v>0.2</v>
      </c>
      <c r="C33" s="18" t="n">
        <v>0.2</v>
      </c>
      <c r="D33" s="18" t="n">
        <v>0.2</v>
      </c>
      <c r="E33" s="18" t="n">
        <v>0.4</v>
      </c>
    </row>
    <row r="34" customFormat="false" ht="15" hidden="false" customHeight="false" outlineLevel="0" collapsed="false">
      <c r="A34" s="4" t="s">
        <v>30</v>
      </c>
      <c r="B34" s="19" t="n">
        <f aca="false">MIN(COUNTIF($A$32:$A$33,"&lt;"&amp;$B$15)+1,2)</f>
        <v>1</v>
      </c>
    </row>
    <row r="36" customFormat="false" ht="15" hidden="false" customHeight="false" outlineLevel="0" collapsed="false">
      <c r="A36" s="20" t="s">
        <v>31</v>
      </c>
    </row>
    <row r="37" customFormat="false" ht="15" hidden="false" customHeight="false" outlineLevel="0" collapsed="false">
      <c r="A37" s="2" t="s">
        <v>32</v>
      </c>
    </row>
    <row r="38" customFormat="false" ht="15" hidden="false" customHeight="false" outlineLevel="0" collapsed="false">
      <c r="A38" s="2" t="s">
        <v>33</v>
      </c>
    </row>
    <row r="39" customFormat="false" ht="15" hidden="false" customHeight="false" outlineLevel="0" collapsed="false">
      <c r="A39" s="2" t="s">
        <v>34</v>
      </c>
    </row>
    <row r="40" customFormat="false" ht="15" hidden="false" customHeight="false" outlineLevel="0" collapsed="false">
      <c r="A40" s="2" t="s">
        <v>35</v>
      </c>
    </row>
    <row r="41" customFormat="false" ht="15" hidden="false" customHeight="false" outlineLevel="0" collapsed="false">
      <c r="A41" s="2" t="s">
        <v>36</v>
      </c>
    </row>
    <row r="42" customFormat="false" ht="15" hidden="false" customHeight="false" outlineLevel="0" collapsed="false">
      <c r="A42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2" t="s">
        <v>40</v>
      </c>
    </row>
    <row r="4" customFormat="false" ht="15" hidden="false" customHeight="false" outlineLevel="0" collapsed="false">
      <c r="A4" s="21" t="n">
        <v>46027</v>
      </c>
      <c r="B4" s="22" t="s">
        <v>41</v>
      </c>
      <c r="C4" s="22" t="s">
        <v>42</v>
      </c>
      <c r="D4" s="22" t="s">
        <v>43</v>
      </c>
      <c r="E4" s="23" t="n">
        <v>150000</v>
      </c>
    </row>
    <row r="5" customFormat="false" ht="15" hidden="false" customHeight="false" outlineLevel="0" collapsed="false">
      <c r="A5" s="2" t="s">
        <v>44</v>
      </c>
    </row>
    <row r="6" customFormat="false" ht="15" hidden="false" customHeight="false" outlineLevel="0" collapsed="false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</row>
    <row r="7" customFormat="false" ht="15" hidden="false" customHeight="false" outlineLevel="0" collapsed="false">
      <c r="A7" s="24"/>
      <c r="B7" s="25"/>
      <c r="C7" s="25"/>
      <c r="D7" s="25"/>
      <c r="E7" s="6"/>
      <c r="F7" s="26" t="str">
        <f aca="false">IF(A7="","",MONTH(A7))</f>
        <v/>
      </c>
      <c r="G7" s="26" t="str">
        <f aca="false">IF(A7="","",YEAR(A7))</f>
        <v/>
      </c>
      <c r="H7" s="11" t="str">
        <f aca="false">IF(OR(C7="",B7&lt;&gt;"Pengeluaran"),"",IFERROR(INDEX(Dashboard!$B$18:$B$39,MATCH(C7,Dashboard!$A$18:$A$39,0)),""))</f>
        <v/>
      </c>
    </row>
    <row r="8" customFormat="false" ht="15" hidden="false" customHeight="false" outlineLevel="0" collapsed="false">
      <c r="A8" s="24"/>
      <c r="B8" s="25"/>
      <c r="C8" s="25"/>
      <c r="D8" s="25"/>
      <c r="E8" s="6"/>
      <c r="F8" s="26" t="str">
        <f aca="false">IF(A8="","",MONTH(A8))</f>
        <v/>
      </c>
      <c r="G8" s="26" t="str">
        <f aca="false">IF(A8="","",YEAR(A8))</f>
        <v/>
      </c>
      <c r="H8" s="11" t="str">
        <f aca="false">IF(OR(C8="",B8&lt;&gt;"Pengeluaran"),"",IFERROR(INDEX(Dashboard!$B$18:$B$39,MATCH(C8,Dashboard!$A$18:$A$39,0)),""))</f>
        <v/>
      </c>
    </row>
    <row r="9" customFormat="false" ht="15" hidden="false" customHeight="false" outlineLevel="0" collapsed="false">
      <c r="A9" s="24"/>
      <c r="B9" s="25"/>
      <c r="C9" s="25"/>
      <c r="D9" s="25"/>
      <c r="E9" s="6"/>
      <c r="F9" s="26" t="str">
        <f aca="false">IF(A9="","",MONTH(A9))</f>
        <v/>
      </c>
      <c r="G9" s="26" t="str">
        <f aca="false">IF(A9="","",YEAR(A9))</f>
        <v/>
      </c>
      <c r="H9" s="11" t="str">
        <f aca="false">IF(OR(C9="",B9&lt;&gt;"Pengeluaran"),"",IFERROR(INDEX(Dashboard!$B$18:$B$39,MATCH(C9,Dashboard!$A$18:$A$39,0)),""))</f>
        <v/>
      </c>
    </row>
    <row r="10" customFormat="false" ht="15" hidden="false" customHeight="false" outlineLevel="0" collapsed="false">
      <c r="A10" s="24"/>
      <c r="B10" s="25"/>
      <c r="C10" s="25"/>
      <c r="D10" s="25"/>
      <c r="E10" s="6"/>
      <c r="F10" s="26" t="str">
        <f aca="false">IF(A10="","",MONTH(A10))</f>
        <v/>
      </c>
      <c r="G10" s="26" t="str">
        <f aca="false">IF(A10="","",YEAR(A10))</f>
        <v/>
      </c>
      <c r="H10" s="11" t="str">
        <f aca="false">IF(OR(C10="",B10&lt;&gt;"Pengeluaran"),"",IFERROR(INDEX(Dashboard!$B$18:$B$39,MATCH(C10,Dashboard!$A$18:$A$39,0)),""))</f>
        <v/>
      </c>
    </row>
    <row r="11" customFormat="false" ht="15" hidden="false" customHeight="false" outlineLevel="0" collapsed="false">
      <c r="A11" s="24"/>
      <c r="B11" s="25"/>
      <c r="C11" s="25"/>
      <c r="D11" s="25"/>
      <c r="E11" s="6"/>
      <c r="F11" s="26" t="str">
        <f aca="false">IF(A11="","",MONTH(A11))</f>
        <v/>
      </c>
      <c r="G11" s="26" t="str">
        <f aca="false">IF(A11="","",YEAR(A11))</f>
        <v/>
      </c>
      <c r="H11" s="11" t="str">
        <f aca="false">IF(OR(C11="",B11&lt;&gt;"Pengeluaran"),"",IFERROR(INDEX(Dashboard!$B$18:$B$39,MATCH(C11,Dashboard!$A$18:$A$39,0)),""))</f>
        <v/>
      </c>
    </row>
    <row r="12" customFormat="false" ht="15" hidden="false" customHeight="false" outlineLevel="0" collapsed="false">
      <c r="A12" s="24"/>
      <c r="B12" s="25"/>
      <c r="C12" s="25"/>
      <c r="D12" s="25"/>
      <c r="E12" s="6"/>
      <c r="F12" s="26" t="str">
        <f aca="false">IF(A12="","",MONTH(A12))</f>
        <v/>
      </c>
      <c r="G12" s="26" t="str">
        <f aca="false">IF(A12="","",YEAR(A12))</f>
        <v/>
      </c>
      <c r="H12" s="11" t="str">
        <f aca="false">IF(OR(C12="",B12&lt;&gt;"Pengeluaran"),"",IFERROR(INDEX(Dashboard!$B$18:$B$39,MATCH(C12,Dashboard!$A$18:$A$39,0)),""))</f>
        <v/>
      </c>
    </row>
    <row r="13" customFormat="false" ht="15" hidden="false" customHeight="false" outlineLevel="0" collapsed="false">
      <c r="A13" s="24"/>
      <c r="B13" s="25"/>
      <c r="C13" s="25"/>
      <c r="D13" s="25"/>
      <c r="E13" s="6"/>
      <c r="F13" s="26" t="str">
        <f aca="false">IF(A13="","",MONTH(A13))</f>
        <v/>
      </c>
      <c r="G13" s="26" t="str">
        <f aca="false">IF(A13="","",YEAR(A13))</f>
        <v/>
      </c>
      <c r="H13" s="11" t="str">
        <f aca="false">IF(OR(C13="",B13&lt;&gt;"Pengeluaran"),"",IFERROR(INDEX(Dashboard!$B$18:$B$39,MATCH(C13,Dashboard!$A$18:$A$39,0)),""))</f>
        <v/>
      </c>
    </row>
    <row r="14" customFormat="false" ht="15" hidden="false" customHeight="false" outlineLevel="0" collapsed="false">
      <c r="A14" s="24"/>
      <c r="B14" s="25"/>
      <c r="C14" s="25"/>
      <c r="D14" s="25"/>
      <c r="E14" s="6"/>
      <c r="F14" s="26" t="str">
        <f aca="false">IF(A14="","",MONTH(A14))</f>
        <v/>
      </c>
      <c r="G14" s="26" t="str">
        <f aca="false">IF(A14="","",YEAR(A14))</f>
        <v/>
      </c>
      <c r="H14" s="11" t="str">
        <f aca="false">IF(OR(C14="",B14&lt;&gt;"Pengeluaran"),"",IFERROR(INDEX(Dashboard!$B$18:$B$39,MATCH(C14,Dashboard!$A$18:$A$39,0)),""))</f>
        <v/>
      </c>
    </row>
    <row r="15" customFormat="false" ht="15" hidden="false" customHeight="false" outlineLevel="0" collapsed="false">
      <c r="A15" s="24"/>
      <c r="B15" s="25"/>
      <c r="C15" s="25"/>
      <c r="D15" s="25"/>
      <c r="E15" s="6"/>
      <c r="F15" s="26" t="str">
        <f aca="false">IF(A15="","",MONTH(A15))</f>
        <v/>
      </c>
      <c r="G15" s="26" t="str">
        <f aca="false">IF(A15="","",YEAR(A15))</f>
        <v/>
      </c>
      <c r="H15" s="11" t="str">
        <f aca="false">IF(OR(C15="",B15&lt;&gt;"Pengeluaran"),"",IFERROR(INDEX(Dashboard!$B$18:$B$39,MATCH(C15,Dashboard!$A$18:$A$39,0)),""))</f>
        <v/>
      </c>
    </row>
    <row r="16" customFormat="false" ht="15" hidden="false" customHeight="false" outlineLevel="0" collapsed="false">
      <c r="A16" s="24"/>
      <c r="B16" s="25"/>
      <c r="C16" s="25"/>
      <c r="D16" s="25"/>
      <c r="E16" s="6"/>
      <c r="F16" s="26" t="str">
        <f aca="false">IF(A16="","",MONTH(A16))</f>
        <v/>
      </c>
      <c r="G16" s="26" t="str">
        <f aca="false">IF(A16="","",YEAR(A16))</f>
        <v/>
      </c>
      <c r="H16" s="11" t="str">
        <f aca="false">IF(OR(C16="",B16&lt;&gt;"Pengeluaran"),"",IFERROR(INDEX(Dashboard!$B$18:$B$39,MATCH(C16,Dashboard!$A$18:$A$39,0)),""))</f>
        <v/>
      </c>
    </row>
    <row r="17" customFormat="false" ht="15" hidden="false" customHeight="false" outlineLevel="0" collapsed="false">
      <c r="A17" s="24"/>
      <c r="B17" s="25"/>
      <c r="C17" s="25"/>
      <c r="D17" s="25"/>
      <c r="E17" s="6"/>
      <c r="F17" s="26" t="str">
        <f aca="false">IF(A17="","",MONTH(A17))</f>
        <v/>
      </c>
      <c r="G17" s="26" t="str">
        <f aca="false">IF(A17="","",YEAR(A17))</f>
        <v/>
      </c>
      <c r="H17" s="11" t="str">
        <f aca="false">IF(OR(C17="",B17&lt;&gt;"Pengeluaran"),"",IFERROR(INDEX(Dashboard!$B$18:$B$39,MATCH(C17,Dashboard!$A$18:$A$39,0)),""))</f>
        <v/>
      </c>
    </row>
    <row r="18" customFormat="false" ht="15" hidden="false" customHeight="false" outlineLevel="0" collapsed="false">
      <c r="A18" s="24"/>
      <c r="B18" s="25"/>
      <c r="C18" s="25"/>
      <c r="D18" s="25"/>
      <c r="E18" s="6"/>
      <c r="F18" s="26" t="str">
        <f aca="false">IF(A18="","",MONTH(A18))</f>
        <v/>
      </c>
      <c r="G18" s="26" t="str">
        <f aca="false">IF(A18="","",YEAR(A18))</f>
        <v/>
      </c>
      <c r="H18" s="11" t="str">
        <f aca="false">IF(OR(C18="",B18&lt;&gt;"Pengeluaran"),"",IFERROR(INDEX(Dashboard!$B$18:$B$39,MATCH(C18,Dashboard!$A$18:$A$39,0)),""))</f>
        <v/>
      </c>
    </row>
    <row r="19" customFormat="false" ht="15" hidden="false" customHeight="false" outlineLevel="0" collapsed="false">
      <c r="A19" s="24"/>
      <c r="B19" s="25"/>
      <c r="C19" s="25"/>
      <c r="D19" s="25"/>
      <c r="E19" s="6"/>
      <c r="F19" s="26" t="str">
        <f aca="false">IF(A19="","",MONTH(A19))</f>
        <v/>
      </c>
      <c r="G19" s="26" t="str">
        <f aca="false">IF(A19="","",YEAR(A19))</f>
        <v/>
      </c>
      <c r="H19" s="11" t="str">
        <f aca="false">IF(OR(C19="",B19&lt;&gt;"Pengeluaran"),"",IFERROR(INDEX(Dashboard!$B$18:$B$39,MATCH(C19,Dashboard!$A$18:$A$39,0)),""))</f>
        <v/>
      </c>
    </row>
    <row r="20" customFormat="false" ht="15" hidden="false" customHeight="false" outlineLevel="0" collapsed="false">
      <c r="A20" s="24"/>
      <c r="B20" s="25"/>
      <c r="C20" s="25"/>
      <c r="D20" s="25"/>
      <c r="E20" s="6"/>
      <c r="F20" s="26" t="str">
        <f aca="false">IF(A20="","",MONTH(A20))</f>
        <v/>
      </c>
      <c r="G20" s="26" t="str">
        <f aca="false">IF(A20="","",YEAR(A20))</f>
        <v/>
      </c>
      <c r="H20" s="11" t="str">
        <f aca="false">IF(OR(C20="",B20&lt;&gt;"Pengeluaran"),"",IFERROR(INDEX(Dashboard!$B$18:$B$39,MATCH(C20,Dashboard!$A$18:$A$39,0)),""))</f>
        <v/>
      </c>
    </row>
    <row r="21" customFormat="false" ht="15" hidden="false" customHeight="false" outlineLevel="0" collapsed="false">
      <c r="A21" s="24"/>
      <c r="B21" s="25"/>
      <c r="C21" s="25"/>
      <c r="D21" s="25"/>
      <c r="E21" s="6"/>
      <c r="F21" s="26" t="str">
        <f aca="false">IF(A21="","",MONTH(A21))</f>
        <v/>
      </c>
      <c r="G21" s="26" t="str">
        <f aca="false">IF(A21="","",YEAR(A21))</f>
        <v/>
      </c>
      <c r="H21" s="11" t="str">
        <f aca="false">IF(OR(C21="",B21&lt;&gt;"Pengeluaran"),"",IFERROR(INDEX(Dashboard!$B$18:$B$39,MATCH(C21,Dashboard!$A$18:$A$39,0)),""))</f>
        <v/>
      </c>
    </row>
    <row r="22" customFormat="false" ht="15" hidden="false" customHeight="false" outlineLevel="0" collapsed="false">
      <c r="A22" s="24"/>
      <c r="B22" s="25"/>
      <c r="C22" s="25"/>
      <c r="D22" s="25"/>
      <c r="E22" s="6"/>
      <c r="F22" s="26" t="str">
        <f aca="false">IF(A22="","",MONTH(A22))</f>
        <v/>
      </c>
      <c r="G22" s="26" t="str">
        <f aca="false">IF(A22="","",YEAR(A22))</f>
        <v/>
      </c>
      <c r="H22" s="11" t="str">
        <f aca="false">IF(OR(C22="",B22&lt;&gt;"Pengeluaran"),"",IFERROR(INDEX(Dashboard!$B$18:$B$39,MATCH(C22,Dashboard!$A$18:$A$39,0)),""))</f>
        <v/>
      </c>
    </row>
    <row r="23" customFormat="false" ht="15" hidden="false" customHeight="false" outlineLevel="0" collapsed="false">
      <c r="A23" s="24"/>
      <c r="B23" s="25"/>
      <c r="C23" s="25"/>
      <c r="D23" s="25"/>
      <c r="E23" s="6"/>
      <c r="F23" s="26" t="str">
        <f aca="false">IF(A23="","",MONTH(A23))</f>
        <v/>
      </c>
      <c r="G23" s="26" t="str">
        <f aca="false">IF(A23="","",YEAR(A23))</f>
        <v/>
      </c>
      <c r="H23" s="11" t="str">
        <f aca="false">IF(OR(C23="",B23&lt;&gt;"Pengeluaran"),"",IFERROR(INDEX(Dashboard!$B$18:$B$39,MATCH(C23,Dashboard!$A$18:$A$39,0)),""))</f>
        <v/>
      </c>
    </row>
    <row r="24" customFormat="false" ht="15" hidden="false" customHeight="false" outlineLevel="0" collapsed="false">
      <c r="A24" s="24"/>
      <c r="B24" s="25"/>
      <c r="C24" s="25"/>
      <c r="D24" s="25"/>
      <c r="E24" s="6"/>
      <c r="F24" s="26" t="str">
        <f aca="false">IF(A24="","",MONTH(A24))</f>
        <v/>
      </c>
      <c r="G24" s="26" t="str">
        <f aca="false">IF(A24="","",YEAR(A24))</f>
        <v/>
      </c>
      <c r="H24" s="11" t="str">
        <f aca="false">IF(OR(C24="",B24&lt;&gt;"Pengeluaran"),"",IFERROR(INDEX(Dashboard!$B$18:$B$39,MATCH(C24,Dashboard!$A$18:$A$39,0)),""))</f>
        <v/>
      </c>
    </row>
    <row r="25" customFormat="false" ht="15" hidden="false" customHeight="false" outlineLevel="0" collapsed="false">
      <c r="A25" s="24"/>
      <c r="B25" s="25"/>
      <c r="C25" s="25"/>
      <c r="D25" s="25"/>
      <c r="E25" s="6"/>
      <c r="F25" s="26" t="str">
        <f aca="false">IF(A25="","",MONTH(A25))</f>
        <v/>
      </c>
      <c r="G25" s="26" t="str">
        <f aca="false">IF(A25="","",YEAR(A25))</f>
        <v/>
      </c>
      <c r="H25" s="11" t="str">
        <f aca="false">IF(OR(C25="",B25&lt;&gt;"Pengeluaran"),"",IFERROR(INDEX(Dashboard!$B$18:$B$39,MATCH(C25,Dashboard!$A$18:$A$39,0)),""))</f>
        <v/>
      </c>
    </row>
    <row r="26" customFormat="false" ht="15" hidden="false" customHeight="false" outlineLevel="0" collapsed="false">
      <c r="A26" s="24"/>
      <c r="B26" s="25"/>
      <c r="C26" s="25"/>
      <c r="D26" s="25"/>
      <c r="E26" s="6"/>
      <c r="F26" s="26" t="str">
        <f aca="false">IF(A26="","",MONTH(A26))</f>
        <v/>
      </c>
      <c r="G26" s="26" t="str">
        <f aca="false">IF(A26="","",YEAR(A26))</f>
        <v/>
      </c>
      <c r="H26" s="11" t="str">
        <f aca="false">IF(OR(C26="",B26&lt;&gt;"Pengeluaran"),"",IFERROR(INDEX(Dashboard!$B$18:$B$39,MATCH(C26,Dashboard!$A$18:$A$39,0)),""))</f>
        <v/>
      </c>
    </row>
    <row r="27" customFormat="false" ht="15" hidden="false" customHeight="false" outlineLevel="0" collapsed="false">
      <c r="A27" s="24"/>
      <c r="B27" s="25"/>
      <c r="C27" s="25"/>
      <c r="D27" s="25"/>
      <c r="E27" s="6"/>
      <c r="F27" s="26" t="str">
        <f aca="false">IF(A27="","",MONTH(A27))</f>
        <v/>
      </c>
      <c r="G27" s="26" t="str">
        <f aca="false">IF(A27="","",YEAR(A27))</f>
        <v/>
      </c>
      <c r="H27" s="11" t="str">
        <f aca="false">IF(OR(C27="",B27&lt;&gt;"Pengeluaran"),"",IFERROR(INDEX(Dashboard!$B$18:$B$39,MATCH(C27,Dashboard!$A$18:$A$39,0)),""))</f>
        <v/>
      </c>
    </row>
    <row r="28" customFormat="false" ht="15" hidden="false" customHeight="false" outlineLevel="0" collapsed="false">
      <c r="A28" s="24"/>
      <c r="B28" s="25"/>
      <c r="C28" s="25"/>
      <c r="D28" s="25"/>
      <c r="E28" s="6"/>
      <c r="F28" s="26" t="str">
        <f aca="false">IF(A28="","",MONTH(A28))</f>
        <v/>
      </c>
      <c r="G28" s="26" t="str">
        <f aca="false">IF(A28="","",YEAR(A28))</f>
        <v/>
      </c>
      <c r="H28" s="11" t="str">
        <f aca="false">IF(OR(C28="",B28&lt;&gt;"Pengeluaran"),"",IFERROR(INDEX(Dashboard!$B$18:$B$39,MATCH(C28,Dashboard!$A$18:$A$39,0)),""))</f>
        <v/>
      </c>
    </row>
    <row r="29" customFormat="false" ht="15" hidden="false" customHeight="false" outlineLevel="0" collapsed="false">
      <c r="A29" s="24"/>
      <c r="B29" s="25"/>
      <c r="C29" s="25"/>
      <c r="D29" s="25"/>
      <c r="E29" s="6"/>
      <c r="F29" s="26" t="str">
        <f aca="false">IF(A29="","",MONTH(A29))</f>
        <v/>
      </c>
      <c r="G29" s="26" t="str">
        <f aca="false">IF(A29="","",YEAR(A29))</f>
        <v/>
      </c>
      <c r="H29" s="11" t="str">
        <f aca="false">IF(OR(C29="",B29&lt;&gt;"Pengeluaran"),"",IFERROR(INDEX(Dashboard!$B$18:$B$39,MATCH(C29,Dashboard!$A$18:$A$39,0)),""))</f>
        <v/>
      </c>
    </row>
    <row r="30" customFormat="false" ht="15" hidden="false" customHeight="false" outlineLevel="0" collapsed="false">
      <c r="A30" s="24"/>
      <c r="B30" s="25"/>
      <c r="C30" s="25"/>
      <c r="D30" s="25"/>
      <c r="E30" s="6"/>
      <c r="F30" s="26" t="str">
        <f aca="false">IF(A30="","",MONTH(A30))</f>
        <v/>
      </c>
      <c r="G30" s="26" t="str">
        <f aca="false">IF(A30="","",YEAR(A30))</f>
        <v/>
      </c>
      <c r="H30" s="11" t="str">
        <f aca="false">IF(OR(C30="",B30&lt;&gt;"Pengeluaran"),"",IFERROR(INDEX(Dashboard!$B$18:$B$39,MATCH(C30,Dashboard!$A$18:$A$39,0)),""))</f>
        <v/>
      </c>
    </row>
    <row r="31" customFormat="false" ht="15" hidden="false" customHeight="false" outlineLevel="0" collapsed="false">
      <c r="A31" s="24"/>
      <c r="B31" s="25"/>
      <c r="C31" s="25"/>
      <c r="D31" s="25"/>
      <c r="E31" s="6"/>
      <c r="F31" s="26" t="str">
        <f aca="false">IF(A31="","",MONTH(A31))</f>
        <v/>
      </c>
      <c r="G31" s="26" t="str">
        <f aca="false">IF(A31="","",YEAR(A31))</f>
        <v/>
      </c>
      <c r="H31" s="11" t="str">
        <f aca="false">IF(OR(C31="",B31&lt;&gt;"Pengeluaran"),"",IFERROR(INDEX(Dashboard!$B$18:$B$39,MATCH(C31,Dashboard!$A$18:$A$39,0)),""))</f>
        <v/>
      </c>
    </row>
    <row r="32" customFormat="false" ht="15" hidden="false" customHeight="false" outlineLevel="0" collapsed="false">
      <c r="A32" s="24"/>
      <c r="B32" s="25"/>
      <c r="C32" s="25"/>
      <c r="D32" s="25"/>
      <c r="E32" s="6"/>
      <c r="F32" s="26" t="str">
        <f aca="false">IF(A32="","",MONTH(A32))</f>
        <v/>
      </c>
      <c r="G32" s="26" t="str">
        <f aca="false">IF(A32="","",YEAR(A32))</f>
        <v/>
      </c>
      <c r="H32" s="11" t="str">
        <f aca="false">IF(OR(C32="",B32&lt;&gt;"Pengeluaran"),"",IFERROR(INDEX(Dashboard!$B$18:$B$39,MATCH(C32,Dashboard!$A$18:$A$39,0)),""))</f>
        <v/>
      </c>
    </row>
    <row r="33" customFormat="false" ht="15" hidden="false" customHeight="false" outlineLevel="0" collapsed="false">
      <c r="A33" s="24"/>
      <c r="B33" s="25"/>
      <c r="C33" s="25"/>
      <c r="D33" s="25"/>
      <c r="E33" s="6"/>
      <c r="F33" s="26" t="str">
        <f aca="false">IF(A33="","",MONTH(A33))</f>
        <v/>
      </c>
      <c r="G33" s="26" t="str">
        <f aca="false">IF(A33="","",YEAR(A33))</f>
        <v/>
      </c>
      <c r="H33" s="11" t="str">
        <f aca="false">IF(OR(C33="",B33&lt;&gt;"Pengeluaran"),"",IFERROR(INDEX(Dashboard!$B$18:$B$39,MATCH(C33,Dashboard!$A$18:$A$39,0)),""))</f>
        <v/>
      </c>
    </row>
    <row r="34" customFormat="false" ht="15" hidden="false" customHeight="false" outlineLevel="0" collapsed="false">
      <c r="A34" s="24"/>
      <c r="B34" s="25"/>
      <c r="C34" s="25"/>
      <c r="D34" s="25"/>
      <c r="E34" s="6"/>
      <c r="F34" s="26" t="str">
        <f aca="false">IF(A34="","",MONTH(A34))</f>
        <v/>
      </c>
      <c r="G34" s="26" t="str">
        <f aca="false">IF(A34="","",YEAR(A34))</f>
        <v/>
      </c>
      <c r="H34" s="11" t="str">
        <f aca="false">IF(OR(C34="",B34&lt;&gt;"Pengeluaran"),"",IFERROR(INDEX(Dashboard!$B$18:$B$39,MATCH(C34,Dashboard!$A$18:$A$39,0)),""))</f>
        <v/>
      </c>
    </row>
    <row r="35" customFormat="false" ht="15" hidden="false" customHeight="false" outlineLevel="0" collapsed="false">
      <c r="A35" s="24"/>
      <c r="B35" s="25"/>
      <c r="C35" s="25"/>
      <c r="D35" s="25"/>
      <c r="E35" s="6"/>
      <c r="F35" s="26" t="str">
        <f aca="false">IF(A35="","",MONTH(A35))</f>
        <v/>
      </c>
      <c r="G35" s="26" t="str">
        <f aca="false">IF(A35="","",YEAR(A35))</f>
        <v/>
      </c>
      <c r="H35" s="11" t="str">
        <f aca="false">IF(OR(C35="",B35&lt;&gt;"Pengeluaran"),"",IFERROR(INDEX(Dashboard!$B$18:$B$39,MATCH(C35,Dashboard!$A$18:$A$39,0)),""))</f>
        <v/>
      </c>
    </row>
    <row r="36" customFormat="false" ht="15" hidden="false" customHeight="false" outlineLevel="0" collapsed="false">
      <c r="A36" s="24"/>
      <c r="B36" s="25"/>
      <c r="C36" s="25"/>
      <c r="D36" s="25"/>
      <c r="E36" s="6"/>
      <c r="F36" s="26" t="str">
        <f aca="false">IF(A36="","",MONTH(A36))</f>
        <v/>
      </c>
      <c r="G36" s="26" t="str">
        <f aca="false">IF(A36="","",YEAR(A36))</f>
        <v/>
      </c>
      <c r="H36" s="11" t="str">
        <f aca="false">IF(OR(C36="",B36&lt;&gt;"Pengeluaran"),"",IFERROR(INDEX(Dashboard!$B$18:$B$39,MATCH(C36,Dashboard!$A$18:$A$39,0)),""))</f>
        <v/>
      </c>
    </row>
    <row r="37" customFormat="false" ht="15" hidden="false" customHeight="false" outlineLevel="0" collapsed="false">
      <c r="A37" s="24"/>
      <c r="B37" s="25"/>
      <c r="C37" s="25"/>
      <c r="D37" s="25"/>
      <c r="E37" s="6"/>
      <c r="F37" s="26" t="str">
        <f aca="false">IF(A37="","",MONTH(A37))</f>
        <v/>
      </c>
      <c r="G37" s="26" t="str">
        <f aca="false">IF(A37="","",YEAR(A37))</f>
        <v/>
      </c>
      <c r="H37" s="11" t="str">
        <f aca="false">IF(OR(C37="",B37&lt;&gt;"Pengeluaran"),"",IFERROR(INDEX(Dashboard!$B$18:$B$39,MATCH(C37,Dashboard!$A$18:$A$39,0)),""))</f>
        <v/>
      </c>
    </row>
    <row r="38" customFormat="false" ht="15" hidden="false" customHeight="false" outlineLevel="0" collapsed="false">
      <c r="A38" s="24"/>
      <c r="B38" s="25"/>
      <c r="C38" s="25"/>
      <c r="D38" s="25"/>
      <c r="E38" s="6"/>
      <c r="F38" s="26" t="str">
        <f aca="false">IF(A38="","",MONTH(A38))</f>
        <v/>
      </c>
      <c r="G38" s="26" t="str">
        <f aca="false">IF(A38="","",YEAR(A38))</f>
        <v/>
      </c>
      <c r="H38" s="11" t="str">
        <f aca="false">IF(OR(C38="",B38&lt;&gt;"Pengeluaran"),"",IFERROR(INDEX(Dashboard!$B$18:$B$39,MATCH(C38,Dashboard!$A$18:$A$39,0)),""))</f>
        <v/>
      </c>
    </row>
    <row r="39" customFormat="false" ht="15" hidden="false" customHeight="false" outlineLevel="0" collapsed="false">
      <c r="A39" s="24"/>
      <c r="B39" s="25"/>
      <c r="C39" s="25"/>
      <c r="D39" s="25"/>
      <c r="E39" s="6"/>
      <c r="F39" s="26" t="str">
        <f aca="false">IF(A39="","",MONTH(A39))</f>
        <v/>
      </c>
      <c r="G39" s="26" t="str">
        <f aca="false">IF(A39="","",YEAR(A39))</f>
        <v/>
      </c>
      <c r="H39" s="11" t="str">
        <f aca="false">IF(OR(C39="",B39&lt;&gt;"Pengeluaran"),"",IFERROR(INDEX(Dashboard!$B$18:$B$39,MATCH(C39,Dashboard!$A$18:$A$39,0)),""))</f>
        <v/>
      </c>
    </row>
    <row r="40" customFormat="false" ht="15" hidden="false" customHeight="false" outlineLevel="0" collapsed="false">
      <c r="A40" s="24"/>
      <c r="B40" s="25"/>
      <c r="C40" s="25"/>
      <c r="D40" s="25"/>
      <c r="E40" s="6"/>
      <c r="F40" s="26" t="str">
        <f aca="false">IF(A40="","",MONTH(A40))</f>
        <v/>
      </c>
      <c r="G40" s="26" t="str">
        <f aca="false">IF(A40="","",YEAR(A40))</f>
        <v/>
      </c>
      <c r="H40" s="11" t="str">
        <f aca="false">IF(OR(C40="",B40&lt;&gt;"Pengeluaran"),"",IFERROR(INDEX(Dashboard!$B$18:$B$39,MATCH(C40,Dashboard!$A$18:$A$39,0)),""))</f>
        <v/>
      </c>
    </row>
    <row r="41" customFormat="false" ht="15" hidden="false" customHeight="false" outlineLevel="0" collapsed="false">
      <c r="A41" s="24"/>
      <c r="B41" s="25"/>
      <c r="C41" s="25"/>
      <c r="D41" s="25"/>
      <c r="E41" s="6"/>
      <c r="F41" s="26" t="str">
        <f aca="false">IF(A41="","",MONTH(A41))</f>
        <v/>
      </c>
      <c r="G41" s="26" t="str">
        <f aca="false">IF(A41="","",YEAR(A41))</f>
        <v/>
      </c>
      <c r="H41" s="11" t="str">
        <f aca="false">IF(OR(C41="",B41&lt;&gt;"Pengeluaran"),"",IFERROR(INDEX(Dashboard!$B$18:$B$39,MATCH(C41,Dashboard!$A$18:$A$39,0)),""))</f>
        <v/>
      </c>
    </row>
    <row r="42" customFormat="false" ht="15" hidden="false" customHeight="false" outlineLevel="0" collapsed="false">
      <c r="A42" s="24"/>
      <c r="B42" s="25"/>
      <c r="C42" s="25"/>
      <c r="D42" s="25"/>
      <c r="E42" s="6"/>
      <c r="F42" s="26" t="str">
        <f aca="false">IF(A42="","",MONTH(A42))</f>
        <v/>
      </c>
      <c r="G42" s="26" t="str">
        <f aca="false">IF(A42="","",YEAR(A42))</f>
        <v/>
      </c>
      <c r="H42" s="11" t="str">
        <f aca="false">IF(OR(C42="",B42&lt;&gt;"Pengeluaran"),"",IFERROR(INDEX(Dashboard!$B$18:$B$39,MATCH(C42,Dashboard!$A$18:$A$39,0)),""))</f>
        <v/>
      </c>
    </row>
    <row r="43" customFormat="false" ht="15" hidden="false" customHeight="false" outlineLevel="0" collapsed="false">
      <c r="A43" s="24"/>
      <c r="B43" s="25"/>
      <c r="C43" s="25"/>
      <c r="D43" s="25"/>
      <c r="E43" s="6"/>
      <c r="F43" s="26" t="str">
        <f aca="false">IF(A43="","",MONTH(A43))</f>
        <v/>
      </c>
      <c r="G43" s="26" t="str">
        <f aca="false">IF(A43="","",YEAR(A43))</f>
        <v/>
      </c>
      <c r="H43" s="11" t="str">
        <f aca="false">IF(OR(C43="",B43&lt;&gt;"Pengeluaran"),"",IFERROR(INDEX(Dashboard!$B$18:$B$39,MATCH(C43,Dashboard!$A$18:$A$39,0)),""))</f>
        <v/>
      </c>
    </row>
    <row r="44" customFormat="false" ht="15" hidden="false" customHeight="false" outlineLevel="0" collapsed="false">
      <c r="A44" s="24"/>
      <c r="B44" s="25"/>
      <c r="C44" s="25"/>
      <c r="D44" s="25"/>
      <c r="E44" s="6"/>
      <c r="F44" s="26" t="str">
        <f aca="false">IF(A44="","",MONTH(A44))</f>
        <v/>
      </c>
      <c r="G44" s="26" t="str">
        <f aca="false">IF(A44="","",YEAR(A44))</f>
        <v/>
      </c>
      <c r="H44" s="11" t="str">
        <f aca="false">IF(OR(C44="",B44&lt;&gt;"Pengeluaran"),"",IFERROR(INDEX(Dashboard!$B$18:$B$39,MATCH(C44,Dashboard!$A$18:$A$39,0)),""))</f>
        <v/>
      </c>
    </row>
    <row r="45" customFormat="false" ht="15" hidden="false" customHeight="false" outlineLevel="0" collapsed="false">
      <c r="A45" s="24"/>
      <c r="B45" s="25"/>
      <c r="C45" s="25"/>
      <c r="D45" s="25"/>
      <c r="E45" s="6"/>
      <c r="F45" s="26" t="str">
        <f aca="false">IF(A45="","",MONTH(A45))</f>
        <v/>
      </c>
      <c r="G45" s="26" t="str">
        <f aca="false">IF(A45="","",YEAR(A45))</f>
        <v/>
      </c>
      <c r="H45" s="11" t="str">
        <f aca="false">IF(OR(C45="",B45&lt;&gt;"Pengeluaran"),"",IFERROR(INDEX(Dashboard!$B$18:$B$39,MATCH(C45,Dashboard!$A$18:$A$39,0)),""))</f>
        <v/>
      </c>
    </row>
    <row r="46" customFormat="false" ht="15" hidden="false" customHeight="false" outlineLevel="0" collapsed="false">
      <c r="A46" s="24"/>
      <c r="B46" s="25"/>
      <c r="C46" s="25"/>
      <c r="D46" s="25"/>
      <c r="E46" s="6"/>
      <c r="F46" s="26" t="str">
        <f aca="false">IF(A46="","",MONTH(A46))</f>
        <v/>
      </c>
      <c r="G46" s="26" t="str">
        <f aca="false">IF(A46="","",YEAR(A46))</f>
        <v/>
      </c>
      <c r="H46" s="11" t="str">
        <f aca="false">IF(OR(C46="",B46&lt;&gt;"Pengeluaran"),"",IFERROR(INDEX(Dashboard!$B$18:$B$39,MATCH(C46,Dashboard!$A$18:$A$39,0)),""))</f>
        <v/>
      </c>
    </row>
    <row r="47" customFormat="false" ht="15" hidden="false" customHeight="false" outlineLevel="0" collapsed="false">
      <c r="A47" s="24"/>
      <c r="B47" s="25"/>
      <c r="C47" s="25"/>
      <c r="D47" s="25"/>
      <c r="E47" s="6"/>
      <c r="F47" s="26" t="str">
        <f aca="false">IF(A47="","",MONTH(A47))</f>
        <v/>
      </c>
      <c r="G47" s="26" t="str">
        <f aca="false">IF(A47="","",YEAR(A47))</f>
        <v/>
      </c>
      <c r="H47" s="11" t="str">
        <f aca="false">IF(OR(C47="",B47&lt;&gt;"Pengeluaran"),"",IFERROR(INDEX(Dashboard!$B$18:$B$39,MATCH(C47,Dashboard!$A$18:$A$39,0)),""))</f>
        <v/>
      </c>
    </row>
    <row r="48" customFormat="false" ht="15" hidden="false" customHeight="false" outlineLevel="0" collapsed="false">
      <c r="A48" s="24"/>
      <c r="B48" s="25"/>
      <c r="C48" s="25"/>
      <c r="D48" s="25"/>
      <c r="E48" s="6"/>
      <c r="F48" s="26" t="str">
        <f aca="false">IF(A48="","",MONTH(A48))</f>
        <v/>
      </c>
      <c r="G48" s="26" t="str">
        <f aca="false">IF(A48="","",YEAR(A48))</f>
        <v/>
      </c>
      <c r="H48" s="11" t="str">
        <f aca="false">IF(OR(C48="",B48&lt;&gt;"Pengeluaran"),"",IFERROR(INDEX(Dashboard!$B$18:$B$39,MATCH(C48,Dashboard!$A$18:$A$39,0)),""))</f>
        <v/>
      </c>
    </row>
    <row r="49" customFormat="false" ht="15" hidden="false" customHeight="false" outlineLevel="0" collapsed="false">
      <c r="A49" s="24"/>
      <c r="B49" s="25"/>
      <c r="C49" s="25"/>
      <c r="D49" s="25"/>
      <c r="E49" s="6"/>
      <c r="F49" s="26" t="str">
        <f aca="false">IF(A49="","",MONTH(A49))</f>
        <v/>
      </c>
      <c r="G49" s="26" t="str">
        <f aca="false">IF(A49="","",YEAR(A49))</f>
        <v/>
      </c>
      <c r="H49" s="11" t="str">
        <f aca="false">IF(OR(C49="",B49&lt;&gt;"Pengeluaran"),"",IFERROR(INDEX(Dashboard!$B$18:$B$39,MATCH(C49,Dashboard!$A$18:$A$39,0)),""))</f>
        <v/>
      </c>
    </row>
    <row r="50" customFormat="false" ht="15" hidden="false" customHeight="false" outlineLevel="0" collapsed="false">
      <c r="A50" s="24"/>
      <c r="B50" s="25"/>
      <c r="C50" s="25"/>
      <c r="D50" s="25"/>
      <c r="E50" s="6"/>
      <c r="F50" s="26" t="str">
        <f aca="false">IF(A50="","",MONTH(A50))</f>
        <v/>
      </c>
      <c r="G50" s="26" t="str">
        <f aca="false">IF(A50="","",YEAR(A50))</f>
        <v/>
      </c>
      <c r="H50" s="11" t="str">
        <f aca="false">IF(OR(C50="",B50&lt;&gt;"Pengeluaran"),"",IFERROR(INDEX(Dashboard!$B$18:$B$39,MATCH(C50,Dashboard!$A$18:$A$39,0)),""))</f>
        <v/>
      </c>
    </row>
    <row r="51" customFormat="false" ht="15" hidden="false" customHeight="false" outlineLevel="0" collapsed="false">
      <c r="A51" s="24"/>
      <c r="B51" s="25"/>
      <c r="C51" s="25"/>
      <c r="D51" s="25"/>
      <c r="E51" s="6"/>
      <c r="F51" s="26" t="str">
        <f aca="false">IF(A51="","",MONTH(A51))</f>
        <v/>
      </c>
      <c r="G51" s="26" t="str">
        <f aca="false">IF(A51="","",YEAR(A51))</f>
        <v/>
      </c>
      <c r="H51" s="11" t="str">
        <f aca="false">IF(OR(C51="",B51&lt;&gt;"Pengeluaran"),"",IFERROR(INDEX(Dashboard!$B$18:$B$39,MATCH(C51,Dashboard!$A$18:$A$39,0)),""))</f>
        <v/>
      </c>
    </row>
    <row r="52" customFormat="false" ht="15" hidden="false" customHeight="false" outlineLevel="0" collapsed="false">
      <c r="A52" s="24"/>
      <c r="B52" s="25"/>
      <c r="C52" s="25"/>
      <c r="D52" s="25"/>
      <c r="E52" s="6"/>
      <c r="F52" s="26" t="str">
        <f aca="false">IF(A52="","",MONTH(A52))</f>
        <v/>
      </c>
      <c r="G52" s="26" t="str">
        <f aca="false">IF(A52="","",YEAR(A52))</f>
        <v/>
      </c>
      <c r="H52" s="11" t="str">
        <f aca="false">IF(OR(C52="",B52&lt;&gt;"Pengeluaran"),"",IFERROR(INDEX(Dashboard!$B$18:$B$39,MATCH(C52,Dashboard!$A$18:$A$39,0)),""))</f>
        <v/>
      </c>
    </row>
    <row r="53" customFormat="false" ht="15" hidden="false" customHeight="false" outlineLevel="0" collapsed="false">
      <c r="A53" s="24"/>
      <c r="B53" s="25"/>
      <c r="C53" s="25"/>
      <c r="D53" s="25"/>
      <c r="E53" s="6"/>
      <c r="F53" s="26" t="str">
        <f aca="false">IF(A53="","",MONTH(A53))</f>
        <v/>
      </c>
      <c r="G53" s="26" t="str">
        <f aca="false">IF(A53="","",YEAR(A53))</f>
        <v/>
      </c>
      <c r="H53" s="11" t="str">
        <f aca="false">IF(OR(C53="",B53&lt;&gt;"Pengeluaran"),"",IFERROR(INDEX(Dashboard!$B$18:$B$39,MATCH(C53,Dashboard!$A$18:$A$39,0)),""))</f>
        <v/>
      </c>
    </row>
    <row r="54" customFormat="false" ht="15" hidden="false" customHeight="false" outlineLevel="0" collapsed="false">
      <c r="A54" s="24"/>
      <c r="B54" s="25"/>
      <c r="C54" s="25"/>
      <c r="D54" s="25"/>
      <c r="E54" s="6"/>
      <c r="F54" s="26" t="str">
        <f aca="false">IF(A54="","",MONTH(A54))</f>
        <v/>
      </c>
      <c r="G54" s="26" t="str">
        <f aca="false">IF(A54="","",YEAR(A54))</f>
        <v/>
      </c>
      <c r="H54" s="11" t="str">
        <f aca="false">IF(OR(C54="",B54&lt;&gt;"Pengeluaran"),"",IFERROR(INDEX(Dashboard!$B$18:$B$39,MATCH(C54,Dashboard!$A$18:$A$39,0)),""))</f>
        <v/>
      </c>
    </row>
    <row r="55" customFormat="false" ht="15" hidden="false" customHeight="false" outlineLevel="0" collapsed="false">
      <c r="A55" s="24"/>
      <c r="B55" s="25"/>
      <c r="C55" s="25"/>
      <c r="D55" s="25"/>
      <c r="E55" s="6"/>
      <c r="F55" s="26" t="str">
        <f aca="false">IF(A55="","",MONTH(A55))</f>
        <v/>
      </c>
      <c r="G55" s="26" t="str">
        <f aca="false">IF(A55="","",YEAR(A55))</f>
        <v/>
      </c>
      <c r="H55" s="11" t="str">
        <f aca="false">IF(OR(C55="",B55&lt;&gt;"Pengeluaran"),"",IFERROR(INDEX(Dashboard!$B$18:$B$39,MATCH(C55,Dashboard!$A$18:$A$39,0)),""))</f>
        <v/>
      </c>
    </row>
    <row r="56" customFormat="false" ht="15" hidden="false" customHeight="false" outlineLevel="0" collapsed="false">
      <c r="A56" s="24"/>
      <c r="B56" s="25"/>
      <c r="C56" s="25"/>
      <c r="D56" s="25"/>
      <c r="E56" s="6"/>
      <c r="F56" s="26" t="str">
        <f aca="false">IF(A56="","",MONTH(A56))</f>
        <v/>
      </c>
      <c r="G56" s="26" t="str">
        <f aca="false">IF(A56="","",YEAR(A56))</f>
        <v/>
      </c>
      <c r="H56" s="11" t="str">
        <f aca="false">IF(OR(C56="",B56&lt;&gt;"Pengeluaran"),"",IFERROR(INDEX(Dashboard!$B$18:$B$39,MATCH(C56,Dashboard!$A$18:$A$39,0)),""))</f>
        <v/>
      </c>
    </row>
    <row r="57" customFormat="false" ht="15" hidden="false" customHeight="false" outlineLevel="0" collapsed="false">
      <c r="A57" s="24"/>
      <c r="B57" s="25"/>
      <c r="C57" s="25"/>
      <c r="D57" s="25"/>
      <c r="E57" s="6"/>
      <c r="F57" s="26" t="str">
        <f aca="false">IF(A57="","",MONTH(A57))</f>
        <v/>
      </c>
      <c r="G57" s="26" t="str">
        <f aca="false">IF(A57="","",YEAR(A57))</f>
        <v/>
      </c>
      <c r="H57" s="11" t="str">
        <f aca="false">IF(OR(C57="",B57&lt;&gt;"Pengeluaran"),"",IFERROR(INDEX(Dashboard!$B$18:$B$39,MATCH(C57,Dashboard!$A$18:$A$39,0)),""))</f>
        <v/>
      </c>
    </row>
    <row r="58" customFormat="false" ht="15" hidden="false" customHeight="false" outlineLevel="0" collapsed="false">
      <c r="A58" s="24"/>
      <c r="B58" s="25"/>
      <c r="C58" s="25"/>
      <c r="D58" s="25"/>
      <c r="E58" s="6"/>
      <c r="F58" s="26" t="str">
        <f aca="false">IF(A58="","",MONTH(A58))</f>
        <v/>
      </c>
      <c r="G58" s="26" t="str">
        <f aca="false">IF(A58="","",YEAR(A58))</f>
        <v/>
      </c>
      <c r="H58" s="11" t="str">
        <f aca="false">IF(OR(C58="",B58&lt;&gt;"Pengeluaran"),"",IFERROR(INDEX(Dashboard!$B$18:$B$39,MATCH(C58,Dashboard!$A$18:$A$39,0)),""))</f>
        <v/>
      </c>
    </row>
    <row r="59" customFormat="false" ht="15" hidden="false" customHeight="false" outlineLevel="0" collapsed="false">
      <c r="A59" s="24"/>
      <c r="B59" s="25"/>
      <c r="C59" s="25"/>
      <c r="D59" s="25"/>
      <c r="E59" s="6"/>
      <c r="F59" s="26" t="str">
        <f aca="false">IF(A59="","",MONTH(A59))</f>
        <v/>
      </c>
      <c r="G59" s="26" t="str">
        <f aca="false">IF(A59="","",YEAR(A59))</f>
        <v/>
      </c>
      <c r="H59" s="11" t="str">
        <f aca="false">IF(OR(C59="",B59&lt;&gt;"Pengeluaran"),"",IFERROR(INDEX(Dashboard!$B$18:$B$39,MATCH(C59,Dashboard!$A$18:$A$39,0)),""))</f>
        <v/>
      </c>
    </row>
    <row r="60" customFormat="false" ht="15" hidden="false" customHeight="false" outlineLevel="0" collapsed="false">
      <c r="A60" s="24"/>
      <c r="B60" s="25"/>
      <c r="C60" s="25"/>
      <c r="D60" s="25"/>
      <c r="E60" s="6"/>
      <c r="F60" s="26" t="str">
        <f aca="false">IF(A60="","",MONTH(A60))</f>
        <v/>
      </c>
      <c r="G60" s="26" t="str">
        <f aca="false">IF(A60="","",YEAR(A60))</f>
        <v/>
      </c>
      <c r="H60" s="11" t="str">
        <f aca="false">IF(OR(C60="",B60&lt;&gt;"Pengeluaran"),"",IFERROR(INDEX(Dashboard!$B$18:$B$39,MATCH(C60,Dashboard!$A$18:$A$39,0)),""))</f>
        <v/>
      </c>
    </row>
    <row r="61" customFormat="false" ht="15" hidden="false" customHeight="false" outlineLevel="0" collapsed="false">
      <c r="A61" s="24"/>
      <c r="B61" s="25"/>
      <c r="C61" s="25"/>
      <c r="D61" s="25"/>
      <c r="E61" s="6"/>
      <c r="F61" s="26" t="str">
        <f aca="false">IF(A61="","",MONTH(A61))</f>
        <v/>
      </c>
      <c r="G61" s="26" t="str">
        <f aca="false">IF(A61="","",YEAR(A61))</f>
        <v/>
      </c>
      <c r="H61" s="11" t="str">
        <f aca="false">IF(OR(C61="",B61&lt;&gt;"Pengeluaran"),"",IFERROR(INDEX(Dashboard!$B$18:$B$39,MATCH(C61,Dashboard!$A$18:$A$39,0)),""))</f>
        <v/>
      </c>
    </row>
    <row r="62" customFormat="false" ht="15" hidden="false" customHeight="false" outlineLevel="0" collapsed="false">
      <c r="A62" s="24"/>
      <c r="B62" s="25"/>
      <c r="C62" s="25"/>
      <c r="D62" s="25"/>
      <c r="E62" s="6"/>
      <c r="F62" s="26" t="str">
        <f aca="false">IF(A62="","",MONTH(A62))</f>
        <v/>
      </c>
      <c r="G62" s="26" t="str">
        <f aca="false">IF(A62="","",YEAR(A62))</f>
        <v/>
      </c>
      <c r="H62" s="11" t="str">
        <f aca="false">IF(OR(C62="",B62&lt;&gt;"Pengeluaran"),"",IFERROR(INDEX(Dashboard!$B$18:$B$39,MATCH(C62,Dashboard!$A$18:$A$39,0)),""))</f>
        <v/>
      </c>
    </row>
    <row r="63" customFormat="false" ht="15" hidden="false" customHeight="false" outlineLevel="0" collapsed="false">
      <c r="A63" s="24"/>
      <c r="B63" s="25"/>
      <c r="C63" s="25"/>
      <c r="D63" s="25"/>
      <c r="E63" s="6"/>
      <c r="F63" s="26" t="str">
        <f aca="false">IF(A63="","",MONTH(A63))</f>
        <v/>
      </c>
      <c r="G63" s="26" t="str">
        <f aca="false">IF(A63="","",YEAR(A63))</f>
        <v/>
      </c>
      <c r="H63" s="11" t="str">
        <f aca="false">IF(OR(C63="",B63&lt;&gt;"Pengeluaran"),"",IFERROR(INDEX(Dashboard!$B$18:$B$39,MATCH(C63,Dashboard!$A$18:$A$39,0)),""))</f>
        <v/>
      </c>
    </row>
    <row r="64" customFormat="false" ht="15" hidden="false" customHeight="false" outlineLevel="0" collapsed="false">
      <c r="A64" s="24"/>
      <c r="B64" s="25"/>
      <c r="C64" s="25"/>
      <c r="D64" s="25"/>
      <c r="E64" s="6"/>
      <c r="F64" s="26" t="str">
        <f aca="false">IF(A64="","",MONTH(A64))</f>
        <v/>
      </c>
      <c r="G64" s="26" t="str">
        <f aca="false">IF(A64="","",YEAR(A64))</f>
        <v/>
      </c>
      <c r="H64" s="11" t="str">
        <f aca="false">IF(OR(C64="",B64&lt;&gt;"Pengeluaran"),"",IFERROR(INDEX(Dashboard!$B$18:$B$39,MATCH(C64,Dashboard!$A$18:$A$39,0)),""))</f>
        <v/>
      </c>
    </row>
    <row r="65" customFormat="false" ht="15" hidden="false" customHeight="false" outlineLevel="0" collapsed="false">
      <c r="A65" s="24"/>
      <c r="B65" s="25"/>
      <c r="C65" s="25"/>
      <c r="D65" s="25"/>
      <c r="E65" s="6"/>
      <c r="F65" s="26" t="str">
        <f aca="false">IF(A65="","",MONTH(A65))</f>
        <v/>
      </c>
      <c r="G65" s="26" t="str">
        <f aca="false">IF(A65="","",YEAR(A65))</f>
        <v/>
      </c>
      <c r="H65" s="11" t="str">
        <f aca="false">IF(OR(C65="",B65&lt;&gt;"Pengeluaran"),"",IFERROR(INDEX(Dashboard!$B$18:$B$39,MATCH(C65,Dashboard!$A$18:$A$39,0)),""))</f>
        <v/>
      </c>
    </row>
    <row r="66" customFormat="false" ht="15" hidden="false" customHeight="false" outlineLevel="0" collapsed="false">
      <c r="A66" s="24"/>
      <c r="B66" s="25"/>
      <c r="C66" s="25"/>
      <c r="D66" s="25"/>
      <c r="E66" s="6"/>
      <c r="F66" s="26" t="str">
        <f aca="false">IF(A66="","",MONTH(A66))</f>
        <v/>
      </c>
      <c r="G66" s="26" t="str">
        <f aca="false">IF(A66="","",YEAR(A66))</f>
        <v/>
      </c>
      <c r="H66" s="11" t="str">
        <f aca="false">IF(OR(C66="",B66&lt;&gt;"Pengeluaran"),"",IFERROR(INDEX(Dashboard!$B$18:$B$39,MATCH(C66,Dashboard!$A$18:$A$39,0)),""))</f>
        <v/>
      </c>
    </row>
    <row r="67" customFormat="false" ht="15" hidden="false" customHeight="false" outlineLevel="0" collapsed="false">
      <c r="A67" s="24"/>
      <c r="B67" s="25"/>
      <c r="C67" s="25"/>
      <c r="D67" s="25"/>
      <c r="E67" s="6"/>
      <c r="F67" s="26" t="str">
        <f aca="false">IF(A67="","",MONTH(A67))</f>
        <v/>
      </c>
      <c r="G67" s="26" t="str">
        <f aca="false">IF(A67="","",YEAR(A67))</f>
        <v/>
      </c>
      <c r="H67" s="11" t="str">
        <f aca="false">IF(OR(C67="",B67&lt;&gt;"Pengeluaran"),"",IFERROR(INDEX(Dashboard!$B$18:$B$39,MATCH(C67,Dashboard!$A$18:$A$39,0)),""))</f>
        <v/>
      </c>
    </row>
    <row r="68" customFormat="false" ht="15" hidden="false" customHeight="false" outlineLevel="0" collapsed="false">
      <c r="A68" s="24"/>
      <c r="B68" s="25"/>
      <c r="C68" s="25"/>
      <c r="D68" s="25"/>
      <c r="E68" s="6"/>
      <c r="F68" s="26" t="str">
        <f aca="false">IF(A68="","",MONTH(A68))</f>
        <v/>
      </c>
      <c r="G68" s="26" t="str">
        <f aca="false">IF(A68="","",YEAR(A68))</f>
        <v/>
      </c>
      <c r="H68" s="11" t="str">
        <f aca="false">IF(OR(C68="",B68&lt;&gt;"Pengeluaran"),"",IFERROR(INDEX(Dashboard!$B$18:$B$39,MATCH(C68,Dashboard!$A$18:$A$39,0)),""))</f>
        <v/>
      </c>
    </row>
    <row r="69" customFormat="false" ht="15" hidden="false" customHeight="false" outlineLevel="0" collapsed="false">
      <c r="A69" s="24"/>
      <c r="B69" s="25"/>
      <c r="C69" s="25"/>
      <c r="D69" s="25"/>
      <c r="E69" s="6"/>
      <c r="F69" s="26" t="str">
        <f aca="false">IF(A69="","",MONTH(A69))</f>
        <v/>
      </c>
      <c r="G69" s="26" t="str">
        <f aca="false">IF(A69="","",YEAR(A69))</f>
        <v/>
      </c>
      <c r="H69" s="11" t="str">
        <f aca="false">IF(OR(C69="",B69&lt;&gt;"Pengeluaran"),"",IFERROR(INDEX(Dashboard!$B$18:$B$39,MATCH(C69,Dashboard!$A$18:$A$39,0)),""))</f>
        <v/>
      </c>
    </row>
    <row r="70" customFormat="false" ht="15" hidden="false" customHeight="false" outlineLevel="0" collapsed="false">
      <c r="A70" s="24"/>
      <c r="B70" s="25"/>
      <c r="C70" s="25"/>
      <c r="D70" s="25"/>
      <c r="E70" s="6"/>
      <c r="F70" s="26" t="str">
        <f aca="false">IF(A70="","",MONTH(A70))</f>
        <v/>
      </c>
      <c r="G70" s="26" t="str">
        <f aca="false">IF(A70="","",YEAR(A70))</f>
        <v/>
      </c>
      <c r="H70" s="11" t="str">
        <f aca="false">IF(OR(C70="",B70&lt;&gt;"Pengeluaran"),"",IFERROR(INDEX(Dashboard!$B$18:$B$39,MATCH(C70,Dashboard!$A$18:$A$39,0)),""))</f>
        <v/>
      </c>
    </row>
    <row r="71" customFormat="false" ht="15" hidden="false" customHeight="false" outlineLevel="0" collapsed="false">
      <c r="A71" s="24"/>
      <c r="B71" s="25"/>
      <c r="C71" s="25"/>
      <c r="D71" s="25"/>
      <c r="E71" s="6"/>
      <c r="F71" s="26" t="str">
        <f aca="false">IF(A71="","",MONTH(A71))</f>
        <v/>
      </c>
      <c r="G71" s="26" t="str">
        <f aca="false">IF(A71="","",YEAR(A71))</f>
        <v/>
      </c>
      <c r="H71" s="11" t="str">
        <f aca="false">IF(OR(C71="",B71&lt;&gt;"Pengeluaran"),"",IFERROR(INDEX(Dashboard!$B$18:$B$39,MATCH(C71,Dashboard!$A$18:$A$39,0)),""))</f>
        <v/>
      </c>
    </row>
    <row r="72" customFormat="false" ht="15" hidden="false" customHeight="false" outlineLevel="0" collapsed="false">
      <c r="A72" s="24"/>
      <c r="B72" s="25"/>
      <c r="C72" s="25"/>
      <c r="D72" s="25"/>
      <c r="E72" s="6"/>
      <c r="F72" s="26" t="str">
        <f aca="false">IF(A72="","",MONTH(A72))</f>
        <v/>
      </c>
      <c r="G72" s="26" t="str">
        <f aca="false">IF(A72="","",YEAR(A72))</f>
        <v/>
      </c>
      <c r="H72" s="11" t="str">
        <f aca="false">IF(OR(C72="",B72&lt;&gt;"Pengeluaran"),"",IFERROR(INDEX(Dashboard!$B$18:$B$39,MATCH(C72,Dashboard!$A$18:$A$39,0)),""))</f>
        <v/>
      </c>
    </row>
    <row r="73" customFormat="false" ht="15" hidden="false" customHeight="false" outlineLevel="0" collapsed="false">
      <c r="A73" s="24"/>
      <c r="B73" s="25"/>
      <c r="C73" s="25"/>
      <c r="D73" s="25"/>
      <c r="E73" s="6"/>
      <c r="F73" s="26" t="str">
        <f aca="false">IF(A73="","",MONTH(A73))</f>
        <v/>
      </c>
      <c r="G73" s="26" t="str">
        <f aca="false">IF(A73="","",YEAR(A73))</f>
        <v/>
      </c>
      <c r="H73" s="11" t="str">
        <f aca="false">IF(OR(C73="",B73&lt;&gt;"Pengeluaran"),"",IFERROR(INDEX(Dashboard!$B$18:$B$39,MATCH(C73,Dashboard!$A$18:$A$39,0)),""))</f>
        <v/>
      </c>
    </row>
    <row r="74" customFormat="false" ht="15" hidden="false" customHeight="false" outlineLevel="0" collapsed="false">
      <c r="A74" s="24"/>
      <c r="B74" s="25"/>
      <c r="C74" s="25"/>
      <c r="D74" s="25"/>
      <c r="E74" s="6"/>
      <c r="F74" s="26" t="str">
        <f aca="false">IF(A74="","",MONTH(A74))</f>
        <v/>
      </c>
      <c r="G74" s="26" t="str">
        <f aca="false">IF(A74="","",YEAR(A74))</f>
        <v/>
      </c>
      <c r="H74" s="11" t="str">
        <f aca="false">IF(OR(C74="",B74&lt;&gt;"Pengeluaran"),"",IFERROR(INDEX(Dashboard!$B$18:$B$39,MATCH(C74,Dashboard!$A$18:$A$39,0)),""))</f>
        <v/>
      </c>
    </row>
    <row r="75" customFormat="false" ht="15" hidden="false" customHeight="false" outlineLevel="0" collapsed="false">
      <c r="A75" s="24"/>
      <c r="B75" s="25"/>
      <c r="C75" s="25"/>
      <c r="D75" s="25"/>
      <c r="E75" s="6"/>
      <c r="F75" s="26" t="str">
        <f aca="false">IF(A75="","",MONTH(A75))</f>
        <v/>
      </c>
      <c r="G75" s="26" t="str">
        <f aca="false">IF(A75="","",YEAR(A75))</f>
        <v/>
      </c>
      <c r="H75" s="11" t="str">
        <f aca="false">IF(OR(C75="",B75&lt;&gt;"Pengeluaran"),"",IFERROR(INDEX(Dashboard!$B$18:$B$39,MATCH(C75,Dashboard!$A$18:$A$39,0)),""))</f>
        <v/>
      </c>
    </row>
    <row r="76" customFormat="false" ht="15" hidden="false" customHeight="false" outlineLevel="0" collapsed="false">
      <c r="A76" s="24"/>
      <c r="B76" s="25"/>
      <c r="C76" s="25"/>
      <c r="D76" s="25"/>
      <c r="E76" s="6"/>
      <c r="F76" s="26" t="str">
        <f aca="false">IF(A76="","",MONTH(A76))</f>
        <v/>
      </c>
      <c r="G76" s="26" t="str">
        <f aca="false">IF(A76="","",YEAR(A76))</f>
        <v/>
      </c>
      <c r="H76" s="11" t="str">
        <f aca="false">IF(OR(C76="",B76&lt;&gt;"Pengeluaran"),"",IFERROR(INDEX(Dashboard!$B$18:$B$39,MATCH(C76,Dashboard!$A$18:$A$39,0)),""))</f>
        <v/>
      </c>
    </row>
    <row r="77" customFormat="false" ht="15" hidden="false" customHeight="false" outlineLevel="0" collapsed="false">
      <c r="A77" s="24"/>
      <c r="B77" s="25"/>
      <c r="C77" s="25"/>
      <c r="D77" s="25"/>
      <c r="E77" s="6"/>
      <c r="F77" s="26" t="str">
        <f aca="false">IF(A77="","",MONTH(A77))</f>
        <v/>
      </c>
      <c r="G77" s="26" t="str">
        <f aca="false">IF(A77="","",YEAR(A77))</f>
        <v/>
      </c>
      <c r="H77" s="11" t="str">
        <f aca="false">IF(OR(C77="",B77&lt;&gt;"Pengeluaran"),"",IFERROR(INDEX(Dashboard!$B$18:$B$39,MATCH(C77,Dashboard!$A$18:$A$39,0)),""))</f>
        <v/>
      </c>
    </row>
    <row r="78" customFormat="false" ht="15" hidden="false" customHeight="false" outlineLevel="0" collapsed="false">
      <c r="A78" s="24"/>
      <c r="B78" s="25"/>
      <c r="C78" s="25"/>
      <c r="D78" s="25"/>
      <c r="E78" s="6"/>
      <c r="F78" s="26" t="str">
        <f aca="false">IF(A78="","",MONTH(A78))</f>
        <v/>
      </c>
      <c r="G78" s="26" t="str">
        <f aca="false">IF(A78="","",YEAR(A78))</f>
        <v/>
      </c>
      <c r="H78" s="11" t="str">
        <f aca="false">IF(OR(C78="",B78&lt;&gt;"Pengeluaran"),"",IFERROR(INDEX(Dashboard!$B$18:$B$39,MATCH(C78,Dashboard!$A$18:$A$39,0)),""))</f>
        <v/>
      </c>
    </row>
    <row r="79" customFormat="false" ht="15" hidden="false" customHeight="false" outlineLevel="0" collapsed="false">
      <c r="A79" s="24"/>
      <c r="B79" s="25"/>
      <c r="C79" s="25"/>
      <c r="D79" s="25"/>
      <c r="E79" s="6"/>
      <c r="F79" s="26" t="str">
        <f aca="false">IF(A79="","",MONTH(A79))</f>
        <v/>
      </c>
      <c r="G79" s="26" t="str">
        <f aca="false">IF(A79="","",YEAR(A79))</f>
        <v/>
      </c>
      <c r="H79" s="11" t="str">
        <f aca="false">IF(OR(C79="",B79&lt;&gt;"Pengeluaran"),"",IFERROR(INDEX(Dashboard!$B$18:$B$39,MATCH(C79,Dashboard!$A$18:$A$39,0)),""))</f>
        <v/>
      </c>
    </row>
    <row r="80" customFormat="false" ht="15" hidden="false" customHeight="false" outlineLevel="0" collapsed="false">
      <c r="A80" s="24"/>
      <c r="B80" s="25"/>
      <c r="C80" s="25"/>
      <c r="D80" s="25"/>
      <c r="E80" s="6"/>
      <c r="F80" s="26" t="str">
        <f aca="false">IF(A80="","",MONTH(A80))</f>
        <v/>
      </c>
      <c r="G80" s="26" t="str">
        <f aca="false">IF(A80="","",YEAR(A80))</f>
        <v/>
      </c>
      <c r="H80" s="11" t="str">
        <f aca="false">IF(OR(C80="",B80&lt;&gt;"Pengeluaran"),"",IFERROR(INDEX(Dashboard!$B$18:$B$39,MATCH(C80,Dashboard!$A$18:$A$39,0)),""))</f>
        <v/>
      </c>
    </row>
    <row r="81" customFormat="false" ht="15" hidden="false" customHeight="false" outlineLevel="0" collapsed="false">
      <c r="A81" s="24"/>
      <c r="B81" s="25"/>
      <c r="C81" s="25"/>
      <c r="D81" s="25"/>
      <c r="E81" s="6"/>
      <c r="F81" s="26" t="str">
        <f aca="false">IF(A81="","",MONTH(A81))</f>
        <v/>
      </c>
      <c r="G81" s="26" t="str">
        <f aca="false">IF(A81="","",YEAR(A81))</f>
        <v/>
      </c>
      <c r="H81" s="11" t="str">
        <f aca="false">IF(OR(C81="",B81&lt;&gt;"Pengeluaran"),"",IFERROR(INDEX(Dashboard!$B$18:$B$39,MATCH(C81,Dashboard!$A$18:$A$39,0)),""))</f>
        <v/>
      </c>
    </row>
    <row r="82" customFormat="false" ht="15" hidden="false" customHeight="false" outlineLevel="0" collapsed="false">
      <c r="A82" s="24"/>
      <c r="B82" s="25"/>
      <c r="C82" s="25"/>
      <c r="D82" s="25"/>
      <c r="E82" s="6"/>
      <c r="F82" s="26" t="str">
        <f aca="false">IF(A82="","",MONTH(A82))</f>
        <v/>
      </c>
      <c r="G82" s="26" t="str">
        <f aca="false">IF(A82="","",YEAR(A82))</f>
        <v/>
      </c>
      <c r="H82" s="11" t="str">
        <f aca="false">IF(OR(C82="",B82&lt;&gt;"Pengeluaran"),"",IFERROR(INDEX(Dashboard!$B$18:$B$39,MATCH(C82,Dashboard!$A$18:$A$39,0)),""))</f>
        <v/>
      </c>
    </row>
    <row r="83" customFormat="false" ht="15" hidden="false" customHeight="false" outlineLevel="0" collapsed="false">
      <c r="A83" s="24"/>
      <c r="B83" s="25"/>
      <c r="C83" s="25"/>
      <c r="D83" s="25"/>
      <c r="E83" s="6"/>
      <c r="F83" s="26" t="str">
        <f aca="false">IF(A83="","",MONTH(A83))</f>
        <v/>
      </c>
      <c r="G83" s="26" t="str">
        <f aca="false">IF(A83="","",YEAR(A83))</f>
        <v/>
      </c>
      <c r="H83" s="11" t="str">
        <f aca="false">IF(OR(C83="",B83&lt;&gt;"Pengeluaran"),"",IFERROR(INDEX(Dashboard!$B$18:$B$39,MATCH(C83,Dashboard!$A$18:$A$39,0)),""))</f>
        <v/>
      </c>
    </row>
    <row r="84" customFormat="false" ht="15" hidden="false" customHeight="false" outlineLevel="0" collapsed="false">
      <c r="A84" s="24"/>
      <c r="B84" s="25"/>
      <c r="C84" s="25"/>
      <c r="D84" s="25"/>
      <c r="E84" s="6"/>
      <c r="F84" s="26" t="str">
        <f aca="false">IF(A84="","",MONTH(A84))</f>
        <v/>
      </c>
      <c r="G84" s="26" t="str">
        <f aca="false">IF(A84="","",YEAR(A84))</f>
        <v/>
      </c>
      <c r="H84" s="11" t="str">
        <f aca="false">IF(OR(C84="",B84&lt;&gt;"Pengeluaran"),"",IFERROR(INDEX(Dashboard!$B$18:$B$39,MATCH(C84,Dashboard!$A$18:$A$39,0)),""))</f>
        <v/>
      </c>
    </row>
    <row r="85" customFormat="false" ht="15" hidden="false" customHeight="false" outlineLevel="0" collapsed="false">
      <c r="A85" s="24"/>
      <c r="B85" s="25"/>
      <c r="C85" s="25"/>
      <c r="D85" s="25"/>
      <c r="E85" s="6"/>
      <c r="F85" s="26" t="str">
        <f aca="false">IF(A85="","",MONTH(A85))</f>
        <v/>
      </c>
      <c r="G85" s="26" t="str">
        <f aca="false">IF(A85="","",YEAR(A85))</f>
        <v/>
      </c>
      <c r="H85" s="11" t="str">
        <f aca="false">IF(OR(C85="",B85&lt;&gt;"Pengeluaran"),"",IFERROR(INDEX(Dashboard!$B$18:$B$39,MATCH(C85,Dashboard!$A$18:$A$39,0)),""))</f>
        <v/>
      </c>
    </row>
    <row r="86" customFormat="false" ht="15" hidden="false" customHeight="false" outlineLevel="0" collapsed="false">
      <c r="A86" s="24"/>
      <c r="B86" s="25"/>
      <c r="C86" s="25"/>
      <c r="D86" s="25"/>
      <c r="E86" s="6"/>
      <c r="F86" s="26" t="str">
        <f aca="false">IF(A86="","",MONTH(A86))</f>
        <v/>
      </c>
      <c r="G86" s="26" t="str">
        <f aca="false">IF(A86="","",YEAR(A86))</f>
        <v/>
      </c>
      <c r="H86" s="11" t="str">
        <f aca="false">IF(OR(C86="",B86&lt;&gt;"Pengeluaran"),"",IFERROR(INDEX(Dashboard!$B$18:$B$39,MATCH(C86,Dashboard!$A$18:$A$39,0)),""))</f>
        <v/>
      </c>
    </row>
    <row r="87" customFormat="false" ht="15" hidden="false" customHeight="false" outlineLevel="0" collapsed="false">
      <c r="A87" s="24"/>
      <c r="B87" s="25"/>
      <c r="C87" s="25"/>
      <c r="D87" s="25"/>
      <c r="E87" s="6"/>
      <c r="F87" s="26" t="str">
        <f aca="false">IF(A87="","",MONTH(A87))</f>
        <v/>
      </c>
      <c r="G87" s="26" t="str">
        <f aca="false">IF(A87="","",YEAR(A87))</f>
        <v/>
      </c>
      <c r="H87" s="11" t="str">
        <f aca="false">IF(OR(C87="",B87&lt;&gt;"Pengeluaran"),"",IFERROR(INDEX(Dashboard!$B$18:$B$39,MATCH(C87,Dashboard!$A$18:$A$39,0)),""))</f>
        <v/>
      </c>
    </row>
    <row r="88" customFormat="false" ht="15" hidden="false" customHeight="false" outlineLevel="0" collapsed="false">
      <c r="A88" s="24"/>
      <c r="B88" s="25"/>
      <c r="C88" s="25"/>
      <c r="D88" s="25"/>
      <c r="E88" s="6"/>
      <c r="F88" s="26" t="str">
        <f aca="false">IF(A88="","",MONTH(A88))</f>
        <v/>
      </c>
      <c r="G88" s="26" t="str">
        <f aca="false">IF(A88="","",YEAR(A88))</f>
        <v/>
      </c>
      <c r="H88" s="11" t="str">
        <f aca="false">IF(OR(C88="",B88&lt;&gt;"Pengeluaran"),"",IFERROR(INDEX(Dashboard!$B$18:$B$39,MATCH(C88,Dashboard!$A$18:$A$39,0)),""))</f>
        <v/>
      </c>
    </row>
    <row r="89" customFormat="false" ht="15" hidden="false" customHeight="false" outlineLevel="0" collapsed="false">
      <c r="A89" s="24"/>
      <c r="B89" s="25"/>
      <c r="C89" s="25"/>
      <c r="D89" s="25"/>
      <c r="E89" s="6"/>
      <c r="F89" s="26" t="str">
        <f aca="false">IF(A89="","",MONTH(A89))</f>
        <v/>
      </c>
      <c r="G89" s="26" t="str">
        <f aca="false">IF(A89="","",YEAR(A89))</f>
        <v/>
      </c>
      <c r="H89" s="11" t="str">
        <f aca="false">IF(OR(C89="",B89&lt;&gt;"Pengeluaran"),"",IFERROR(INDEX(Dashboard!$B$18:$B$39,MATCH(C89,Dashboard!$A$18:$A$39,0)),""))</f>
        <v/>
      </c>
    </row>
    <row r="90" customFormat="false" ht="15" hidden="false" customHeight="false" outlineLevel="0" collapsed="false">
      <c r="A90" s="24"/>
      <c r="B90" s="25"/>
      <c r="C90" s="25"/>
      <c r="D90" s="25"/>
      <c r="E90" s="6"/>
      <c r="F90" s="26" t="str">
        <f aca="false">IF(A90="","",MONTH(A90))</f>
        <v/>
      </c>
      <c r="G90" s="26" t="str">
        <f aca="false">IF(A90="","",YEAR(A90))</f>
        <v/>
      </c>
      <c r="H90" s="11" t="str">
        <f aca="false">IF(OR(C90="",B90&lt;&gt;"Pengeluaran"),"",IFERROR(INDEX(Dashboard!$B$18:$B$39,MATCH(C90,Dashboard!$A$18:$A$39,0)),""))</f>
        <v/>
      </c>
    </row>
    <row r="91" customFormat="false" ht="15" hidden="false" customHeight="false" outlineLevel="0" collapsed="false">
      <c r="A91" s="24"/>
      <c r="B91" s="25"/>
      <c r="C91" s="25"/>
      <c r="D91" s="25"/>
      <c r="E91" s="6"/>
      <c r="F91" s="26" t="str">
        <f aca="false">IF(A91="","",MONTH(A91))</f>
        <v/>
      </c>
      <c r="G91" s="26" t="str">
        <f aca="false">IF(A91="","",YEAR(A91))</f>
        <v/>
      </c>
      <c r="H91" s="11" t="str">
        <f aca="false">IF(OR(C91="",B91&lt;&gt;"Pengeluaran"),"",IFERROR(INDEX(Dashboard!$B$18:$B$39,MATCH(C91,Dashboard!$A$18:$A$39,0)),""))</f>
        <v/>
      </c>
    </row>
    <row r="92" customFormat="false" ht="15" hidden="false" customHeight="false" outlineLevel="0" collapsed="false">
      <c r="A92" s="24"/>
      <c r="B92" s="25"/>
      <c r="C92" s="25"/>
      <c r="D92" s="25"/>
      <c r="E92" s="6"/>
      <c r="F92" s="26" t="str">
        <f aca="false">IF(A92="","",MONTH(A92))</f>
        <v/>
      </c>
      <c r="G92" s="26" t="str">
        <f aca="false">IF(A92="","",YEAR(A92))</f>
        <v/>
      </c>
      <c r="H92" s="11" t="str">
        <f aca="false">IF(OR(C92="",B92&lt;&gt;"Pengeluaran"),"",IFERROR(INDEX(Dashboard!$B$18:$B$39,MATCH(C92,Dashboard!$A$18:$A$39,0)),""))</f>
        <v/>
      </c>
    </row>
    <row r="93" customFormat="false" ht="15" hidden="false" customHeight="false" outlineLevel="0" collapsed="false">
      <c r="A93" s="24"/>
      <c r="B93" s="25"/>
      <c r="C93" s="25"/>
      <c r="D93" s="25"/>
      <c r="E93" s="6"/>
      <c r="F93" s="26" t="str">
        <f aca="false">IF(A93="","",MONTH(A93))</f>
        <v/>
      </c>
      <c r="G93" s="26" t="str">
        <f aca="false">IF(A93="","",YEAR(A93))</f>
        <v/>
      </c>
      <c r="H93" s="11" t="str">
        <f aca="false">IF(OR(C93="",B93&lt;&gt;"Pengeluaran"),"",IFERROR(INDEX(Dashboard!$B$18:$B$39,MATCH(C93,Dashboard!$A$18:$A$39,0)),""))</f>
        <v/>
      </c>
    </row>
    <row r="94" customFormat="false" ht="15" hidden="false" customHeight="false" outlineLevel="0" collapsed="false">
      <c r="A94" s="24"/>
      <c r="B94" s="25"/>
      <c r="C94" s="25"/>
      <c r="D94" s="25"/>
      <c r="E94" s="6"/>
      <c r="F94" s="26" t="str">
        <f aca="false">IF(A94="","",MONTH(A94))</f>
        <v/>
      </c>
      <c r="G94" s="26" t="str">
        <f aca="false">IF(A94="","",YEAR(A94))</f>
        <v/>
      </c>
      <c r="H94" s="11" t="str">
        <f aca="false">IF(OR(C94="",B94&lt;&gt;"Pengeluaran"),"",IFERROR(INDEX(Dashboard!$B$18:$B$39,MATCH(C94,Dashboard!$A$18:$A$39,0)),""))</f>
        <v/>
      </c>
    </row>
    <row r="95" customFormat="false" ht="15" hidden="false" customHeight="false" outlineLevel="0" collapsed="false">
      <c r="A95" s="24"/>
      <c r="B95" s="25"/>
      <c r="C95" s="25"/>
      <c r="D95" s="25"/>
      <c r="E95" s="6"/>
      <c r="F95" s="26" t="str">
        <f aca="false">IF(A95="","",MONTH(A95))</f>
        <v/>
      </c>
      <c r="G95" s="26" t="str">
        <f aca="false">IF(A95="","",YEAR(A95))</f>
        <v/>
      </c>
      <c r="H95" s="11" t="str">
        <f aca="false">IF(OR(C95="",B95&lt;&gt;"Pengeluaran"),"",IFERROR(INDEX(Dashboard!$B$18:$B$39,MATCH(C95,Dashboard!$A$18:$A$39,0)),""))</f>
        <v/>
      </c>
    </row>
    <row r="96" customFormat="false" ht="15" hidden="false" customHeight="false" outlineLevel="0" collapsed="false">
      <c r="A96" s="24"/>
      <c r="B96" s="25"/>
      <c r="C96" s="25"/>
      <c r="D96" s="25"/>
      <c r="E96" s="6"/>
      <c r="F96" s="26" t="str">
        <f aca="false">IF(A96="","",MONTH(A96))</f>
        <v/>
      </c>
      <c r="G96" s="26" t="str">
        <f aca="false">IF(A96="","",YEAR(A96))</f>
        <v/>
      </c>
      <c r="H96" s="11" t="str">
        <f aca="false">IF(OR(C96="",B96&lt;&gt;"Pengeluaran"),"",IFERROR(INDEX(Dashboard!$B$18:$B$39,MATCH(C96,Dashboard!$A$18:$A$39,0)),""))</f>
        <v/>
      </c>
    </row>
    <row r="97" customFormat="false" ht="15" hidden="false" customHeight="false" outlineLevel="0" collapsed="false">
      <c r="A97" s="24"/>
      <c r="B97" s="25"/>
      <c r="C97" s="25"/>
      <c r="D97" s="25"/>
      <c r="E97" s="6"/>
      <c r="F97" s="26" t="str">
        <f aca="false">IF(A97="","",MONTH(A97))</f>
        <v/>
      </c>
      <c r="G97" s="26" t="str">
        <f aca="false">IF(A97="","",YEAR(A97))</f>
        <v/>
      </c>
      <c r="H97" s="11" t="str">
        <f aca="false">IF(OR(C97="",B97&lt;&gt;"Pengeluaran"),"",IFERROR(INDEX(Dashboard!$B$18:$B$39,MATCH(C97,Dashboard!$A$18:$A$39,0)),""))</f>
        <v/>
      </c>
    </row>
    <row r="98" customFormat="false" ht="15" hidden="false" customHeight="false" outlineLevel="0" collapsed="false">
      <c r="A98" s="24"/>
      <c r="B98" s="25"/>
      <c r="C98" s="25"/>
      <c r="D98" s="25"/>
      <c r="E98" s="6"/>
      <c r="F98" s="26" t="str">
        <f aca="false">IF(A98="","",MONTH(A98))</f>
        <v/>
      </c>
      <c r="G98" s="26" t="str">
        <f aca="false">IF(A98="","",YEAR(A98))</f>
        <v/>
      </c>
      <c r="H98" s="11" t="str">
        <f aca="false">IF(OR(C98="",B98&lt;&gt;"Pengeluaran"),"",IFERROR(INDEX(Dashboard!$B$18:$B$39,MATCH(C98,Dashboard!$A$18:$A$39,0)),""))</f>
        <v/>
      </c>
    </row>
    <row r="99" customFormat="false" ht="15" hidden="false" customHeight="false" outlineLevel="0" collapsed="false">
      <c r="A99" s="24"/>
      <c r="B99" s="25"/>
      <c r="C99" s="25"/>
      <c r="D99" s="25"/>
      <c r="E99" s="6"/>
      <c r="F99" s="26" t="str">
        <f aca="false">IF(A99="","",MONTH(A99))</f>
        <v/>
      </c>
      <c r="G99" s="26" t="str">
        <f aca="false">IF(A99="","",YEAR(A99))</f>
        <v/>
      </c>
      <c r="H99" s="11" t="str">
        <f aca="false">IF(OR(C99="",B99&lt;&gt;"Pengeluaran"),"",IFERROR(INDEX(Dashboard!$B$18:$B$39,MATCH(C99,Dashboard!$A$18:$A$39,0)),""))</f>
        <v/>
      </c>
    </row>
    <row r="100" customFormat="false" ht="15" hidden="false" customHeight="false" outlineLevel="0" collapsed="false">
      <c r="A100" s="24"/>
      <c r="B100" s="25"/>
      <c r="C100" s="25"/>
      <c r="D100" s="25"/>
      <c r="E100" s="6"/>
      <c r="F100" s="26" t="str">
        <f aca="false">IF(A100="","",MONTH(A100))</f>
        <v/>
      </c>
      <c r="G100" s="26" t="str">
        <f aca="false">IF(A100="","",YEAR(A100))</f>
        <v/>
      </c>
      <c r="H100" s="11" t="str">
        <f aca="false">IF(OR(C100="",B100&lt;&gt;"Pengeluaran"),"",IFERROR(INDEX(Dashboard!$B$18:$B$39,MATCH(C100,Dashboard!$A$18:$A$39,0)),""))</f>
        <v/>
      </c>
    </row>
    <row r="101" customFormat="false" ht="15" hidden="false" customHeight="false" outlineLevel="0" collapsed="false">
      <c r="A101" s="24"/>
      <c r="B101" s="25"/>
      <c r="C101" s="25"/>
      <c r="D101" s="25"/>
      <c r="E101" s="6"/>
      <c r="F101" s="26" t="str">
        <f aca="false">IF(A101="","",MONTH(A101))</f>
        <v/>
      </c>
      <c r="G101" s="26" t="str">
        <f aca="false">IF(A101="","",YEAR(A101))</f>
        <v/>
      </c>
      <c r="H101" s="11" t="str">
        <f aca="false">IF(OR(C101="",B101&lt;&gt;"Pengeluaran"),"",IFERROR(INDEX(Dashboard!$B$18:$B$39,MATCH(C101,Dashboard!$A$18:$A$39,0)),""))</f>
        <v/>
      </c>
    </row>
    <row r="102" customFormat="false" ht="15" hidden="false" customHeight="false" outlineLevel="0" collapsed="false">
      <c r="A102" s="24"/>
      <c r="B102" s="25"/>
      <c r="C102" s="25"/>
      <c r="D102" s="25"/>
      <c r="E102" s="6"/>
      <c r="F102" s="26" t="str">
        <f aca="false">IF(A102="","",MONTH(A102))</f>
        <v/>
      </c>
      <c r="G102" s="26" t="str">
        <f aca="false">IF(A102="","",YEAR(A102))</f>
        <v/>
      </c>
      <c r="H102" s="11" t="str">
        <f aca="false">IF(OR(C102="",B102&lt;&gt;"Pengeluaran"),"",IFERROR(INDEX(Dashboard!$B$18:$B$39,MATCH(C102,Dashboard!$A$18:$A$39,0)),""))</f>
        <v/>
      </c>
    </row>
    <row r="103" customFormat="false" ht="15" hidden="false" customHeight="false" outlineLevel="0" collapsed="false">
      <c r="A103" s="24"/>
      <c r="B103" s="25"/>
      <c r="C103" s="25"/>
      <c r="D103" s="25"/>
      <c r="E103" s="6"/>
      <c r="F103" s="26" t="str">
        <f aca="false">IF(A103="","",MONTH(A103))</f>
        <v/>
      </c>
      <c r="G103" s="26" t="str">
        <f aca="false">IF(A103="","",YEAR(A103))</f>
        <v/>
      </c>
      <c r="H103" s="11" t="str">
        <f aca="false">IF(OR(C103="",B103&lt;&gt;"Pengeluaran"),"",IFERROR(INDEX(Dashboard!$B$18:$B$39,MATCH(C103,Dashboard!$A$18:$A$39,0)),""))</f>
        <v/>
      </c>
    </row>
    <row r="104" customFormat="false" ht="15" hidden="false" customHeight="false" outlineLevel="0" collapsed="false">
      <c r="A104" s="24"/>
      <c r="B104" s="25"/>
      <c r="C104" s="25"/>
      <c r="D104" s="25"/>
      <c r="E104" s="6"/>
      <c r="F104" s="26" t="str">
        <f aca="false">IF(A104="","",MONTH(A104))</f>
        <v/>
      </c>
      <c r="G104" s="26" t="str">
        <f aca="false">IF(A104="","",YEAR(A104))</f>
        <v/>
      </c>
      <c r="H104" s="11" t="str">
        <f aca="false">IF(OR(C104="",B104&lt;&gt;"Pengeluaran"),"",IFERROR(INDEX(Dashboard!$B$18:$B$39,MATCH(C104,Dashboard!$A$18:$A$39,0)),""))</f>
        <v/>
      </c>
    </row>
    <row r="105" customFormat="false" ht="15" hidden="false" customHeight="false" outlineLevel="0" collapsed="false">
      <c r="A105" s="24"/>
      <c r="B105" s="25"/>
      <c r="C105" s="25"/>
      <c r="D105" s="25"/>
      <c r="E105" s="6"/>
      <c r="F105" s="26" t="str">
        <f aca="false">IF(A105="","",MONTH(A105))</f>
        <v/>
      </c>
      <c r="G105" s="26" t="str">
        <f aca="false">IF(A105="","",YEAR(A105))</f>
        <v/>
      </c>
      <c r="H105" s="11" t="str">
        <f aca="false">IF(OR(C105="",B105&lt;&gt;"Pengeluaran"),"",IFERROR(INDEX(Dashboard!$B$18:$B$39,MATCH(C105,Dashboard!$A$18:$A$39,0)),""))</f>
        <v/>
      </c>
    </row>
    <row r="106" customFormat="false" ht="15" hidden="false" customHeight="false" outlineLevel="0" collapsed="false">
      <c r="A106" s="24"/>
      <c r="B106" s="25"/>
      <c r="C106" s="25"/>
      <c r="D106" s="25"/>
      <c r="E106" s="6"/>
      <c r="F106" s="26" t="str">
        <f aca="false">IF(A106="","",MONTH(A106))</f>
        <v/>
      </c>
      <c r="G106" s="26" t="str">
        <f aca="false">IF(A106="","",YEAR(A106))</f>
        <v/>
      </c>
      <c r="H106" s="11" t="str">
        <f aca="false">IF(OR(C106="",B106&lt;&gt;"Pengeluaran"),"",IFERROR(INDEX(Dashboard!$B$18:$B$39,MATCH(C106,Dashboard!$A$18:$A$39,0)),""))</f>
        <v/>
      </c>
    </row>
    <row r="107" customFormat="false" ht="15" hidden="false" customHeight="false" outlineLevel="0" collapsed="false">
      <c r="A107" s="24"/>
      <c r="B107" s="25"/>
      <c r="C107" s="25"/>
      <c r="D107" s="25"/>
      <c r="E107" s="6"/>
      <c r="F107" s="26" t="str">
        <f aca="false">IF(A107="","",MONTH(A107))</f>
        <v/>
      </c>
      <c r="G107" s="26" t="str">
        <f aca="false">IF(A107="","",YEAR(A107))</f>
        <v/>
      </c>
      <c r="H107" s="11" t="str">
        <f aca="false">IF(OR(C107="",B107&lt;&gt;"Pengeluaran"),"",IFERROR(INDEX(Dashboard!$B$18:$B$39,MATCH(C107,Dashboard!$A$18:$A$39,0)),""))</f>
        <v/>
      </c>
    </row>
    <row r="108" customFormat="false" ht="15" hidden="false" customHeight="false" outlineLevel="0" collapsed="false">
      <c r="A108" s="24"/>
      <c r="B108" s="25"/>
      <c r="C108" s="25"/>
      <c r="D108" s="25"/>
      <c r="E108" s="6"/>
      <c r="F108" s="26" t="str">
        <f aca="false">IF(A108="","",MONTH(A108))</f>
        <v/>
      </c>
      <c r="G108" s="26" t="str">
        <f aca="false">IF(A108="","",YEAR(A108))</f>
        <v/>
      </c>
      <c r="H108" s="11" t="str">
        <f aca="false">IF(OR(C108="",B108&lt;&gt;"Pengeluaran"),"",IFERROR(INDEX(Dashboard!$B$18:$B$39,MATCH(C108,Dashboard!$A$18:$A$39,0)),""))</f>
        <v/>
      </c>
    </row>
    <row r="109" customFormat="false" ht="15" hidden="false" customHeight="false" outlineLevel="0" collapsed="false">
      <c r="A109" s="24"/>
      <c r="B109" s="25"/>
      <c r="C109" s="25"/>
      <c r="D109" s="25"/>
      <c r="E109" s="6"/>
      <c r="F109" s="26" t="str">
        <f aca="false">IF(A109="","",MONTH(A109))</f>
        <v/>
      </c>
      <c r="G109" s="26" t="str">
        <f aca="false">IF(A109="","",YEAR(A109))</f>
        <v/>
      </c>
      <c r="H109" s="11" t="str">
        <f aca="false">IF(OR(C109="",B109&lt;&gt;"Pengeluaran"),"",IFERROR(INDEX(Dashboard!$B$18:$B$39,MATCH(C109,Dashboard!$A$18:$A$39,0)),""))</f>
        <v/>
      </c>
    </row>
    <row r="110" customFormat="false" ht="15" hidden="false" customHeight="false" outlineLevel="0" collapsed="false">
      <c r="A110" s="24"/>
      <c r="B110" s="25"/>
      <c r="C110" s="25"/>
      <c r="D110" s="25"/>
      <c r="E110" s="6"/>
      <c r="F110" s="26" t="str">
        <f aca="false">IF(A110="","",MONTH(A110))</f>
        <v/>
      </c>
      <c r="G110" s="26" t="str">
        <f aca="false">IF(A110="","",YEAR(A110))</f>
        <v/>
      </c>
      <c r="H110" s="11" t="str">
        <f aca="false">IF(OR(C110="",B110&lt;&gt;"Pengeluaran"),"",IFERROR(INDEX(Dashboard!$B$18:$B$39,MATCH(C110,Dashboard!$A$18:$A$39,0)),""))</f>
        <v/>
      </c>
    </row>
    <row r="111" customFormat="false" ht="15" hidden="false" customHeight="false" outlineLevel="0" collapsed="false">
      <c r="A111" s="24"/>
      <c r="B111" s="25"/>
      <c r="C111" s="25"/>
      <c r="D111" s="25"/>
      <c r="E111" s="6"/>
      <c r="F111" s="26" t="str">
        <f aca="false">IF(A111="","",MONTH(A111))</f>
        <v/>
      </c>
      <c r="G111" s="26" t="str">
        <f aca="false">IF(A111="","",YEAR(A111))</f>
        <v/>
      </c>
      <c r="H111" s="11" t="str">
        <f aca="false">IF(OR(C111="",B111&lt;&gt;"Pengeluaran"),"",IFERROR(INDEX(Dashboard!$B$18:$B$39,MATCH(C111,Dashboard!$A$18:$A$39,0)),""))</f>
        <v/>
      </c>
    </row>
    <row r="112" customFormat="false" ht="15" hidden="false" customHeight="false" outlineLevel="0" collapsed="false">
      <c r="A112" s="24"/>
      <c r="B112" s="25"/>
      <c r="C112" s="25"/>
      <c r="D112" s="25"/>
      <c r="E112" s="6"/>
      <c r="F112" s="26" t="str">
        <f aca="false">IF(A112="","",MONTH(A112))</f>
        <v/>
      </c>
      <c r="G112" s="26" t="str">
        <f aca="false">IF(A112="","",YEAR(A112))</f>
        <v/>
      </c>
      <c r="H112" s="11" t="str">
        <f aca="false">IF(OR(C112="",B112&lt;&gt;"Pengeluaran"),"",IFERROR(INDEX(Dashboard!$B$18:$B$39,MATCH(C112,Dashboard!$A$18:$A$39,0)),""))</f>
        <v/>
      </c>
    </row>
    <row r="113" customFormat="false" ht="15" hidden="false" customHeight="false" outlineLevel="0" collapsed="false">
      <c r="A113" s="24"/>
      <c r="B113" s="25"/>
      <c r="C113" s="25"/>
      <c r="D113" s="25"/>
      <c r="E113" s="6"/>
      <c r="F113" s="26" t="str">
        <f aca="false">IF(A113="","",MONTH(A113))</f>
        <v/>
      </c>
      <c r="G113" s="26" t="str">
        <f aca="false">IF(A113="","",YEAR(A113))</f>
        <v/>
      </c>
      <c r="H113" s="11" t="str">
        <f aca="false">IF(OR(C113="",B113&lt;&gt;"Pengeluaran"),"",IFERROR(INDEX(Dashboard!$B$18:$B$39,MATCH(C113,Dashboard!$A$18:$A$39,0)),""))</f>
        <v/>
      </c>
    </row>
    <row r="114" customFormat="false" ht="15" hidden="false" customHeight="false" outlineLevel="0" collapsed="false">
      <c r="A114" s="24"/>
      <c r="B114" s="25"/>
      <c r="C114" s="25"/>
      <c r="D114" s="25"/>
      <c r="E114" s="6"/>
      <c r="F114" s="26" t="str">
        <f aca="false">IF(A114="","",MONTH(A114))</f>
        <v/>
      </c>
      <c r="G114" s="26" t="str">
        <f aca="false">IF(A114="","",YEAR(A114))</f>
        <v/>
      </c>
      <c r="H114" s="11" t="str">
        <f aca="false">IF(OR(C114="",B114&lt;&gt;"Pengeluaran"),"",IFERROR(INDEX(Dashboard!$B$18:$B$39,MATCH(C114,Dashboard!$A$18:$A$39,0)),""))</f>
        <v/>
      </c>
    </row>
    <row r="115" customFormat="false" ht="15" hidden="false" customHeight="false" outlineLevel="0" collapsed="false">
      <c r="A115" s="24"/>
      <c r="B115" s="25"/>
      <c r="C115" s="25"/>
      <c r="D115" s="25"/>
      <c r="E115" s="6"/>
      <c r="F115" s="26" t="str">
        <f aca="false">IF(A115="","",MONTH(A115))</f>
        <v/>
      </c>
      <c r="G115" s="26" t="str">
        <f aca="false">IF(A115="","",YEAR(A115))</f>
        <v/>
      </c>
      <c r="H115" s="11" t="str">
        <f aca="false">IF(OR(C115="",B115&lt;&gt;"Pengeluaran"),"",IFERROR(INDEX(Dashboard!$B$18:$B$39,MATCH(C115,Dashboard!$A$18:$A$39,0)),""))</f>
        <v/>
      </c>
    </row>
    <row r="116" customFormat="false" ht="15" hidden="false" customHeight="false" outlineLevel="0" collapsed="false">
      <c r="A116" s="24"/>
      <c r="B116" s="25"/>
      <c r="C116" s="25"/>
      <c r="D116" s="25"/>
      <c r="E116" s="6"/>
      <c r="F116" s="26" t="str">
        <f aca="false">IF(A116="","",MONTH(A116))</f>
        <v/>
      </c>
      <c r="G116" s="26" t="str">
        <f aca="false">IF(A116="","",YEAR(A116))</f>
        <v/>
      </c>
      <c r="H116" s="11" t="str">
        <f aca="false">IF(OR(C116="",B116&lt;&gt;"Pengeluaran"),"",IFERROR(INDEX(Dashboard!$B$18:$B$39,MATCH(C116,Dashboard!$A$18:$A$39,0)),""))</f>
        <v/>
      </c>
    </row>
    <row r="117" customFormat="false" ht="15" hidden="false" customHeight="false" outlineLevel="0" collapsed="false">
      <c r="A117" s="24"/>
      <c r="B117" s="25"/>
      <c r="C117" s="25"/>
      <c r="D117" s="25"/>
      <c r="E117" s="6"/>
      <c r="F117" s="26" t="str">
        <f aca="false">IF(A117="","",MONTH(A117))</f>
        <v/>
      </c>
      <c r="G117" s="26" t="str">
        <f aca="false">IF(A117="","",YEAR(A117))</f>
        <v/>
      </c>
      <c r="H117" s="11" t="str">
        <f aca="false">IF(OR(C117="",B117&lt;&gt;"Pengeluaran"),"",IFERROR(INDEX(Dashboard!$B$18:$B$39,MATCH(C117,Dashboard!$A$18:$A$39,0)),""))</f>
        <v/>
      </c>
    </row>
    <row r="118" customFormat="false" ht="15" hidden="false" customHeight="false" outlineLevel="0" collapsed="false">
      <c r="A118" s="24"/>
      <c r="B118" s="25"/>
      <c r="C118" s="25"/>
      <c r="D118" s="25"/>
      <c r="E118" s="6"/>
      <c r="F118" s="26" t="str">
        <f aca="false">IF(A118="","",MONTH(A118))</f>
        <v/>
      </c>
      <c r="G118" s="26" t="str">
        <f aca="false">IF(A118="","",YEAR(A118))</f>
        <v/>
      </c>
      <c r="H118" s="11" t="str">
        <f aca="false">IF(OR(C118="",B118&lt;&gt;"Pengeluaran"),"",IFERROR(INDEX(Dashboard!$B$18:$B$39,MATCH(C118,Dashboard!$A$18:$A$39,0)),""))</f>
        <v/>
      </c>
    </row>
    <row r="119" customFormat="false" ht="15" hidden="false" customHeight="false" outlineLevel="0" collapsed="false">
      <c r="A119" s="24"/>
      <c r="B119" s="25"/>
      <c r="C119" s="25"/>
      <c r="D119" s="25"/>
      <c r="E119" s="6"/>
      <c r="F119" s="26" t="str">
        <f aca="false">IF(A119="","",MONTH(A119))</f>
        <v/>
      </c>
      <c r="G119" s="26" t="str">
        <f aca="false">IF(A119="","",YEAR(A119))</f>
        <v/>
      </c>
      <c r="H119" s="11" t="str">
        <f aca="false">IF(OR(C119="",B119&lt;&gt;"Pengeluaran"),"",IFERROR(INDEX(Dashboard!$B$18:$B$39,MATCH(C119,Dashboard!$A$18:$A$39,0)),""))</f>
        <v/>
      </c>
    </row>
    <row r="120" customFormat="false" ht="15" hidden="false" customHeight="false" outlineLevel="0" collapsed="false">
      <c r="A120" s="24"/>
      <c r="B120" s="25"/>
      <c r="C120" s="25"/>
      <c r="D120" s="25"/>
      <c r="E120" s="6"/>
      <c r="F120" s="26" t="str">
        <f aca="false">IF(A120="","",MONTH(A120))</f>
        <v/>
      </c>
      <c r="G120" s="26" t="str">
        <f aca="false">IF(A120="","",YEAR(A120))</f>
        <v/>
      </c>
      <c r="H120" s="11" t="str">
        <f aca="false">IF(OR(C120="",B120&lt;&gt;"Pengeluaran"),"",IFERROR(INDEX(Dashboard!$B$18:$B$39,MATCH(C120,Dashboard!$A$18:$A$39,0)),""))</f>
        <v/>
      </c>
    </row>
    <row r="121" customFormat="false" ht="15" hidden="false" customHeight="false" outlineLevel="0" collapsed="false">
      <c r="A121" s="24"/>
      <c r="B121" s="25"/>
      <c r="C121" s="25"/>
      <c r="D121" s="25"/>
      <c r="E121" s="6"/>
      <c r="F121" s="26" t="str">
        <f aca="false">IF(A121="","",MONTH(A121))</f>
        <v/>
      </c>
      <c r="G121" s="26" t="str">
        <f aca="false">IF(A121="","",YEAR(A121))</f>
        <v/>
      </c>
      <c r="H121" s="11" t="str">
        <f aca="false">IF(OR(C121="",B121&lt;&gt;"Pengeluaran"),"",IFERROR(INDEX(Dashboard!$B$18:$B$39,MATCH(C121,Dashboard!$A$18:$A$39,0)),""))</f>
        <v/>
      </c>
    </row>
    <row r="122" customFormat="false" ht="15" hidden="false" customHeight="false" outlineLevel="0" collapsed="false">
      <c r="A122" s="24"/>
      <c r="B122" s="25"/>
      <c r="C122" s="25"/>
      <c r="D122" s="25"/>
      <c r="E122" s="6"/>
      <c r="F122" s="26" t="str">
        <f aca="false">IF(A122="","",MONTH(A122))</f>
        <v/>
      </c>
      <c r="G122" s="26" t="str">
        <f aca="false">IF(A122="","",YEAR(A122))</f>
        <v/>
      </c>
      <c r="H122" s="11" t="str">
        <f aca="false">IF(OR(C122="",B122&lt;&gt;"Pengeluaran"),"",IFERROR(INDEX(Dashboard!$B$18:$B$39,MATCH(C122,Dashboard!$A$18:$A$39,0)),""))</f>
        <v/>
      </c>
    </row>
    <row r="123" customFormat="false" ht="15" hidden="false" customHeight="false" outlineLevel="0" collapsed="false">
      <c r="A123" s="24"/>
      <c r="B123" s="25"/>
      <c r="C123" s="25"/>
      <c r="D123" s="25"/>
      <c r="E123" s="6"/>
      <c r="F123" s="26" t="str">
        <f aca="false">IF(A123="","",MONTH(A123))</f>
        <v/>
      </c>
      <c r="G123" s="26" t="str">
        <f aca="false">IF(A123="","",YEAR(A123))</f>
        <v/>
      </c>
      <c r="H123" s="11" t="str">
        <f aca="false">IF(OR(C123="",B123&lt;&gt;"Pengeluaran"),"",IFERROR(INDEX(Dashboard!$B$18:$B$39,MATCH(C123,Dashboard!$A$18:$A$39,0)),""))</f>
        <v/>
      </c>
    </row>
    <row r="124" customFormat="false" ht="15" hidden="false" customHeight="false" outlineLevel="0" collapsed="false">
      <c r="A124" s="24"/>
      <c r="B124" s="25"/>
      <c r="C124" s="25"/>
      <c r="D124" s="25"/>
      <c r="E124" s="6"/>
      <c r="F124" s="26" t="str">
        <f aca="false">IF(A124="","",MONTH(A124))</f>
        <v/>
      </c>
      <c r="G124" s="26" t="str">
        <f aca="false">IF(A124="","",YEAR(A124))</f>
        <v/>
      </c>
      <c r="H124" s="11" t="str">
        <f aca="false">IF(OR(C124="",B124&lt;&gt;"Pengeluaran"),"",IFERROR(INDEX(Dashboard!$B$18:$B$39,MATCH(C124,Dashboard!$A$18:$A$39,0)),""))</f>
        <v/>
      </c>
    </row>
    <row r="125" customFormat="false" ht="15" hidden="false" customHeight="false" outlineLevel="0" collapsed="false">
      <c r="A125" s="24"/>
      <c r="B125" s="25"/>
      <c r="C125" s="25"/>
      <c r="D125" s="25"/>
      <c r="E125" s="6"/>
      <c r="F125" s="26" t="str">
        <f aca="false">IF(A125="","",MONTH(A125))</f>
        <v/>
      </c>
      <c r="G125" s="26" t="str">
        <f aca="false">IF(A125="","",YEAR(A125))</f>
        <v/>
      </c>
      <c r="H125" s="11" t="str">
        <f aca="false">IF(OR(C125="",B125&lt;&gt;"Pengeluaran"),"",IFERROR(INDEX(Dashboard!$B$18:$B$39,MATCH(C125,Dashboard!$A$18:$A$39,0)),""))</f>
        <v/>
      </c>
    </row>
    <row r="126" customFormat="false" ht="15" hidden="false" customHeight="false" outlineLevel="0" collapsed="false">
      <c r="A126" s="24"/>
      <c r="B126" s="25"/>
      <c r="C126" s="25"/>
      <c r="D126" s="25"/>
      <c r="E126" s="6"/>
      <c r="F126" s="26" t="str">
        <f aca="false">IF(A126="","",MONTH(A126))</f>
        <v/>
      </c>
      <c r="G126" s="26" t="str">
        <f aca="false">IF(A126="","",YEAR(A126))</f>
        <v/>
      </c>
      <c r="H126" s="11" t="str">
        <f aca="false">IF(OR(C126="",B126&lt;&gt;"Pengeluaran"),"",IFERROR(INDEX(Dashboard!$B$18:$B$39,MATCH(C126,Dashboard!$A$18:$A$39,0)),""))</f>
        <v/>
      </c>
    </row>
    <row r="127" customFormat="false" ht="15" hidden="false" customHeight="false" outlineLevel="0" collapsed="false">
      <c r="A127" s="24"/>
      <c r="B127" s="25"/>
      <c r="C127" s="25"/>
      <c r="D127" s="25"/>
      <c r="E127" s="6"/>
      <c r="F127" s="26" t="str">
        <f aca="false">IF(A127="","",MONTH(A127))</f>
        <v/>
      </c>
      <c r="G127" s="26" t="str">
        <f aca="false">IF(A127="","",YEAR(A127))</f>
        <v/>
      </c>
      <c r="H127" s="11" t="str">
        <f aca="false">IF(OR(C127="",B127&lt;&gt;"Pengeluaran"),"",IFERROR(INDEX(Dashboard!$B$18:$B$39,MATCH(C127,Dashboard!$A$18:$A$39,0)),""))</f>
        <v/>
      </c>
    </row>
    <row r="128" customFormat="false" ht="15" hidden="false" customHeight="false" outlineLevel="0" collapsed="false">
      <c r="A128" s="24"/>
      <c r="B128" s="25"/>
      <c r="C128" s="25"/>
      <c r="D128" s="25"/>
      <c r="E128" s="6"/>
      <c r="F128" s="26" t="str">
        <f aca="false">IF(A128="","",MONTH(A128))</f>
        <v/>
      </c>
      <c r="G128" s="26" t="str">
        <f aca="false">IF(A128="","",YEAR(A128))</f>
        <v/>
      </c>
      <c r="H128" s="11" t="str">
        <f aca="false">IF(OR(C128="",B128&lt;&gt;"Pengeluaran"),"",IFERROR(INDEX(Dashboard!$B$18:$B$39,MATCH(C128,Dashboard!$A$18:$A$39,0)),""))</f>
        <v/>
      </c>
    </row>
    <row r="129" customFormat="false" ht="15" hidden="false" customHeight="false" outlineLevel="0" collapsed="false">
      <c r="A129" s="24"/>
      <c r="B129" s="25"/>
      <c r="C129" s="25"/>
      <c r="D129" s="25"/>
      <c r="E129" s="6"/>
      <c r="F129" s="26" t="str">
        <f aca="false">IF(A129="","",MONTH(A129))</f>
        <v/>
      </c>
      <c r="G129" s="26" t="str">
        <f aca="false">IF(A129="","",YEAR(A129))</f>
        <v/>
      </c>
      <c r="H129" s="11" t="str">
        <f aca="false">IF(OR(C129="",B129&lt;&gt;"Pengeluaran"),"",IFERROR(INDEX(Dashboard!$B$18:$B$39,MATCH(C129,Dashboard!$A$18:$A$39,0)),""))</f>
        <v/>
      </c>
    </row>
    <row r="130" customFormat="false" ht="15" hidden="false" customHeight="false" outlineLevel="0" collapsed="false">
      <c r="A130" s="24"/>
      <c r="B130" s="25"/>
      <c r="C130" s="25"/>
      <c r="D130" s="25"/>
      <c r="E130" s="6"/>
      <c r="F130" s="26" t="str">
        <f aca="false">IF(A130="","",MONTH(A130))</f>
        <v/>
      </c>
      <c r="G130" s="26" t="str">
        <f aca="false">IF(A130="","",YEAR(A130))</f>
        <v/>
      </c>
      <c r="H130" s="11" t="str">
        <f aca="false">IF(OR(C130="",B130&lt;&gt;"Pengeluaran"),"",IFERROR(INDEX(Dashboard!$B$18:$B$39,MATCH(C130,Dashboard!$A$18:$A$39,0)),""))</f>
        <v/>
      </c>
    </row>
    <row r="131" customFormat="false" ht="15" hidden="false" customHeight="false" outlineLevel="0" collapsed="false">
      <c r="A131" s="24"/>
      <c r="B131" s="25"/>
      <c r="C131" s="25"/>
      <c r="D131" s="25"/>
      <c r="E131" s="6"/>
      <c r="F131" s="26" t="str">
        <f aca="false">IF(A131="","",MONTH(A131))</f>
        <v/>
      </c>
      <c r="G131" s="26" t="str">
        <f aca="false">IF(A131="","",YEAR(A131))</f>
        <v/>
      </c>
      <c r="H131" s="11" t="str">
        <f aca="false">IF(OR(C131="",B131&lt;&gt;"Pengeluaran"),"",IFERROR(INDEX(Dashboard!$B$18:$B$39,MATCH(C131,Dashboard!$A$18:$A$39,0)),""))</f>
        <v/>
      </c>
    </row>
    <row r="132" customFormat="false" ht="15" hidden="false" customHeight="false" outlineLevel="0" collapsed="false">
      <c r="A132" s="24"/>
      <c r="B132" s="25"/>
      <c r="C132" s="25"/>
      <c r="D132" s="25"/>
      <c r="E132" s="6"/>
      <c r="F132" s="26" t="str">
        <f aca="false">IF(A132="","",MONTH(A132))</f>
        <v/>
      </c>
      <c r="G132" s="26" t="str">
        <f aca="false">IF(A132="","",YEAR(A132))</f>
        <v/>
      </c>
      <c r="H132" s="11" t="str">
        <f aca="false">IF(OR(C132="",B132&lt;&gt;"Pengeluaran"),"",IFERROR(INDEX(Dashboard!$B$18:$B$39,MATCH(C132,Dashboard!$A$18:$A$39,0)),""))</f>
        <v/>
      </c>
    </row>
    <row r="133" customFormat="false" ht="15" hidden="false" customHeight="false" outlineLevel="0" collapsed="false">
      <c r="A133" s="24"/>
      <c r="B133" s="25"/>
      <c r="C133" s="25"/>
      <c r="D133" s="25"/>
      <c r="E133" s="6"/>
      <c r="F133" s="26" t="str">
        <f aca="false">IF(A133="","",MONTH(A133))</f>
        <v/>
      </c>
      <c r="G133" s="26" t="str">
        <f aca="false">IF(A133="","",YEAR(A133))</f>
        <v/>
      </c>
      <c r="H133" s="11" t="str">
        <f aca="false">IF(OR(C133="",B133&lt;&gt;"Pengeluaran"),"",IFERROR(INDEX(Dashboard!$B$18:$B$39,MATCH(C133,Dashboard!$A$18:$A$39,0)),""))</f>
        <v/>
      </c>
    </row>
    <row r="134" customFormat="false" ht="15" hidden="false" customHeight="false" outlineLevel="0" collapsed="false">
      <c r="A134" s="24"/>
      <c r="B134" s="25"/>
      <c r="C134" s="25"/>
      <c r="D134" s="25"/>
      <c r="E134" s="6"/>
      <c r="F134" s="26" t="str">
        <f aca="false">IF(A134="","",MONTH(A134))</f>
        <v/>
      </c>
      <c r="G134" s="26" t="str">
        <f aca="false">IF(A134="","",YEAR(A134))</f>
        <v/>
      </c>
      <c r="H134" s="11" t="str">
        <f aca="false">IF(OR(C134="",B134&lt;&gt;"Pengeluaran"),"",IFERROR(INDEX(Dashboard!$B$18:$B$39,MATCH(C134,Dashboard!$A$18:$A$39,0)),""))</f>
        <v/>
      </c>
    </row>
    <row r="135" customFormat="false" ht="15" hidden="false" customHeight="false" outlineLevel="0" collapsed="false">
      <c r="A135" s="24"/>
      <c r="B135" s="25"/>
      <c r="C135" s="25"/>
      <c r="D135" s="25"/>
      <c r="E135" s="6"/>
      <c r="F135" s="26" t="str">
        <f aca="false">IF(A135="","",MONTH(A135))</f>
        <v/>
      </c>
      <c r="G135" s="26" t="str">
        <f aca="false">IF(A135="","",YEAR(A135))</f>
        <v/>
      </c>
      <c r="H135" s="11" t="str">
        <f aca="false">IF(OR(C135="",B135&lt;&gt;"Pengeluaran"),"",IFERROR(INDEX(Dashboard!$B$18:$B$39,MATCH(C135,Dashboard!$A$18:$A$39,0)),""))</f>
        <v/>
      </c>
    </row>
    <row r="136" customFormat="false" ht="15" hidden="false" customHeight="false" outlineLevel="0" collapsed="false">
      <c r="A136" s="24"/>
      <c r="B136" s="25"/>
      <c r="C136" s="25"/>
      <c r="D136" s="25"/>
      <c r="E136" s="6"/>
      <c r="F136" s="26" t="str">
        <f aca="false">IF(A136="","",MONTH(A136))</f>
        <v/>
      </c>
      <c r="G136" s="26" t="str">
        <f aca="false">IF(A136="","",YEAR(A136))</f>
        <v/>
      </c>
      <c r="H136" s="11" t="str">
        <f aca="false">IF(OR(C136="",B136&lt;&gt;"Pengeluaran"),"",IFERROR(INDEX(Dashboard!$B$18:$B$39,MATCH(C136,Dashboard!$A$18:$A$39,0)),""))</f>
        <v/>
      </c>
    </row>
    <row r="137" customFormat="false" ht="15" hidden="false" customHeight="false" outlineLevel="0" collapsed="false">
      <c r="A137" s="24"/>
      <c r="B137" s="25"/>
      <c r="C137" s="25"/>
      <c r="D137" s="25"/>
      <c r="E137" s="6"/>
      <c r="F137" s="26" t="str">
        <f aca="false">IF(A137="","",MONTH(A137))</f>
        <v/>
      </c>
      <c r="G137" s="26" t="str">
        <f aca="false">IF(A137="","",YEAR(A137))</f>
        <v/>
      </c>
      <c r="H137" s="11" t="str">
        <f aca="false">IF(OR(C137="",B137&lt;&gt;"Pengeluaran"),"",IFERROR(INDEX(Dashboard!$B$18:$B$39,MATCH(C137,Dashboard!$A$18:$A$39,0)),""))</f>
        <v/>
      </c>
    </row>
    <row r="138" customFormat="false" ht="15" hidden="false" customHeight="false" outlineLevel="0" collapsed="false">
      <c r="A138" s="24"/>
      <c r="B138" s="25"/>
      <c r="C138" s="25"/>
      <c r="D138" s="25"/>
      <c r="E138" s="6"/>
      <c r="F138" s="26" t="str">
        <f aca="false">IF(A138="","",MONTH(A138))</f>
        <v/>
      </c>
      <c r="G138" s="26" t="str">
        <f aca="false">IF(A138="","",YEAR(A138))</f>
        <v/>
      </c>
      <c r="H138" s="11" t="str">
        <f aca="false">IF(OR(C138="",B138&lt;&gt;"Pengeluaran"),"",IFERROR(INDEX(Dashboard!$B$18:$B$39,MATCH(C138,Dashboard!$A$18:$A$39,0)),""))</f>
        <v/>
      </c>
    </row>
    <row r="139" customFormat="false" ht="15" hidden="false" customHeight="false" outlineLevel="0" collapsed="false">
      <c r="A139" s="24"/>
      <c r="B139" s="25"/>
      <c r="C139" s="25"/>
      <c r="D139" s="25"/>
      <c r="E139" s="6"/>
      <c r="F139" s="26" t="str">
        <f aca="false">IF(A139="","",MONTH(A139))</f>
        <v/>
      </c>
      <c r="G139" s="26" t="str">
        <f aca="false">IF(A139="","",YEAR(A139))</f>
        <v/>
      </c>
      <c r="H139" s="11" t="str">
        <f aca="false">IF(OR(C139="",B139&lt;&gt;"Pengeluaran"),"",IFERROR(INDEX(Dashboard!$B$18:$B$39,MATCH(C139,Dashboard!$A$18:$A$39,0)),""))</f>
        <v/>
      </c>
    </row>
    <row r="140" customFormat="false" ht="15" hidden="false" customHeight="false" outlineLevel="0" collapsed="false">
      <c r="A140" s="24"/>
      <c r="B140" s="25"/>
      <c r="C140" s="25"/>
      <c r="D140" s="25"/>
      <c r="E140" s="6"/>
      <c r="F140" s="26" t="str">
        <f aca="false">IF(A140="","",MONTH(A140))</f>
        <v/>
      </c>
      <c r="G140" s="26" t="str">
        <f aca="false">IF(A140="","",YEAR(A140))</f>
        <v/>
      </c>
      <c r="H140" s="11" t="str">
        <f aca="false">IF(OR(C140="",B140&lt;&gt;"Pengeluaran"),"",IFERROR(INDEX(Dashboard!$B$18:$B$39,MATCH(C140,Dashboard!$A$18:$A$39,0)),""))</f>
        <v/>
      </c>
    </row>
    <row r="141" customFormat="false" ht="15" hidden="false" customHeight="false" outlineLevel="0" collapsed="false">
      <c r="A141" s="24"/>
      <c r="B141" s="25"/>
      <c r="C141" s="25"/>
      <c r="D141" s="25"/>
      <c r="E141" s="6"/>
      <c r="F141" s="26" t="str">
        <f aca="false">IF(A141="","",MONTH(A141))</f>
        <v/>
      </c>
      <c r="G141" s="26" t="str">
        <f aca="false">IF(A141="","",YEAR(A141))</f>
        <v/>
      </c>
      <c r="H141" s="11" t="str">
        <f aca="false">IF(OR(C141="",B141&lt;&gt;"Pengeluaran"),"",IFERROR(INDEX(Dashboard!$B$18:$B$39,MATCH(C141,Dashboard!$A$18:$A$39,0)),""))</f>
        <v/>
      </c>
    </row>
    <row r="142" customFormat="false" ht="15" hidden="false" customHeight="false" outlineLevel="0" collapsed="false">
      <c r="A142" s="24"/>
      <c r="B142" s="25"/>
      <c r="C142" s="25"/>
      <c r="D142" s="25"/>
      <c r="E142" s="6"/>
      <c r="F142" s="26" t="str">
        <f aca="false">IF(A142="","",MONTH(A142))</f>
        <v/>
      </c>
      <c r="G142" s="26" t="str">
        <f aca="false">IF(A142="","",YEAR(A142))</f>
        <v/>
      </c>
      <c r="H142" s="11" t="str">
        <f aca="false">IF(OR(C142="",B142&lt;&gt;"Pengeluaran"),"",IFERROR(INDEX(Dashboard!$B$18:$B$39,MATCH(C142,Dashboard!$A$18:$A$39,0)),""))</f>
        <v/>
      </c>
    </row>
    <row r="143" customFormat="false" ht="15" hidden="false" customHeight="false" outlineLevel="0" collapsed="false">
      <c r="A143" s="24"/>
      <c r="B143" s="25"/>
      <c r="C143" s="25"/>
      <c r="D143" s="25"/>
      <c r="E143" s="6"/>
      <c r="F143" s="26" t="str">
        <f aca="false">IF(A143="","",MONTH(A143))</f>
        <v/>
      </c>
      <c r="G143" s="26" t="str">
        <f aca="false">IF(A143="","",YEAR(A143))</f>
        <v/>
      </c>
      <c r="H143" s="11" t="str">
        <f aca="false">IF(OR(C143="",B143&lt;&gt;"Pengeluaran"),"",IFERROR(INDEX(Dashboard!$B$18:$B$39,MATCH(C143,Dashboard!$A$18:$A$39,0)),""))</f>
        <v/>
      </c>
    </row>
    <row r="144" customFormat="false" ht="15" hidden="false" customHeight="false" outlineLevel="0" collapsed="false">
      <c r="A144" s="24"/>
      <c r="B144" s="25"/>
      <c r="C144" s="25"/>
      <c r="D144" s="25"/>
      <c r="E144" s="6"/>
      <c r="F144" s="26" t="str">
        <f aca="false">IF(A144="","",MONTH(A144))</f>
        <v/>
      </c>
      <c r="G144" s="26" t="str">
        <f aca="false">IF(A144="","",YEAR(A144))</f>
        <v/>
      </c>
      <c r="H144" s="11" t="str">
        <f aca="false">IF(OR(C144="",B144&lt;&gt;"Pengeluaran"),"",IFERROR(INDEX(Dashboard!$B$18:$B$39,MATCH(C144,Dashboard!$A$18:$A$39,0)),""))</f>
        <v/>
      </c>
    </row>
    <row r="145" customFormat="false" ht="15" hidden="false" customHeight="false" outlineLevel="0" collapsed="false">
      <c r="A145" s="24"/>
      <c r="B145" s="25"/>
      <c r="C145" s="25"/>
      <c r="D145" s="25"/>
      <c r="E145" s="6"/>
      <c r="F145" s="26" t="str">
        <f aca="false">IF(A145="","",MONTH(A145))</f>
        <v/>
      </c>
      <c r="G145" s="26" t="str">
        <f aca="false">IF(A145="","",YEAR(A145))</f>
        <v/>
      </c>
      <c r="H145" s="11" t="str">
        <f aca="false">IF(OR(C145="",B145&lt;&gt;"Pengeluaran"),"",IFERROR(INDEX(Dashboard!$B$18:$B$39,MATCH(C145,Dashboard!$A$18:$A$39,0)),""))</f>
        <v/>
      </c>
    </row>
    <row r="146" customFormat="false" ht="15" hidden="false" customHeight="false" outlineLevel="0" collapsed="false">
      <c r="A146" s="24"/>
      <c r="B146" s="25"/>
      <c r="C146" s="25"/>
      <c r="D146" s="25"/>
      <c r="E146" s="6"/>
      <c r="F146" s="26" t="str">
        <f aca="false">IF(A146="","",MONTH(A146))</f>
        <v/>
      </c>
      <c r="G146" s="26" t="str">
        <f aca="false">IF(A146="","",YEAR(A146))</f>
        <v/>
      </c>
      <c r="H146" s="11" t="str">
        <f aca="false">IF(OR(C146="",B146&lt;&gt;"Pengeluaran"),"",IFERROR(INDEX(Dashboard!$B$18:$B$39,MATCH(C146,Dashboard!$A$18:$A$39,0)),""))</f>
        <v/>
      </c>
    </row>
    <row r="147" customFormat="false" ht="15" hidden="false" customHeight="false" outlineLevel="0" collapsed="false">
      <c r="A147" s="24"/>
      <c r="B147" s="25"/>
      <c r="C147" s="25"/>
      <c r="D147" s="25"/>
      <c r="E147" s="6"/>
      <c r="F147" s="26" t="str">
        <f aca="false">IF(A147="","",MONTH(A147))</f>
        <v/>
      </c>
      <c r="G147" s="26" t="str">
        <f aca="false">IF(A147="","",YEAR(A147))</f>
        <v/>
      </c>
      <c r="H147" s="11" t="str">
        <f aca="false">IF(OR(C147="",B147&lt;&gt;"Pengeluaran"),"",IFERROR(INDEX(Dashboard!$B$18:$B$39,MATCH(C147,Dashboard!$A$18:$A$39,0)),""))</f>
        <v/>
      </c>
    </row>
    <row r="148" customFormat="false" ht="15" hidden="false" customHeight="false" outlineLevel="0" collapsed="false">
      <c r="A148" s="24"/>
      <c r="B148" s="25"/>
      <c r="C148" s="25"/>
      <c r="D148" s="25"/>
      <c r="E148" s="6"/>
      <c r="F148" s="26" t="str">
        <f aca="false">IF(A148="","",MONTH(A148))</f>
        <v/>
      </c>
      <c r="G148" s="26" t="str">
        <f aca="false">IF(A148="","",YEAR(A148))</f>
        <v/>
      </c>
      <c r="H148" s="11" t="str">
        <f aca="false">IF(OR(C148="",B148&lt;&gt;"Pengeluaran"),"",IFERROR(INDEX(Dashboard!$B$18:$B$39,MATCH(C148,Dashboard!$A$18:$A$39,0)),""))</f>
        <v/>
      </c>
    </row>
    <row r="149" customFormat="false" ht="15" hidden="false" customHeight="false" outlineLevel="0" collapsed="false">
      <c r="A149" s="24"/>
      <c r="B149" s="25"/>
      <c r="C149" s="25"/>
      <c r="D149" s="25"/>
      <c r="E149" s="6"/>
      <c r="F149" s="26" t="str">
        <f aca="false">IF(A149="","",MONTH(A149))</f>
        <v/>
      </c>
      <c r="G149" s="26" t="str">
        <f aca="false">IF(A149="","",YEAR(A149))</f>
        <v/>
      </c>
      <c r="H149" s="11" t="str">
        <f aca="false">IF(OR(C149="",B149&lt;&gt;"Pengeluaran"),"",IFERROR(INDEX(Dashboard!$B$18:$B$39,MATCH(C149,Dashboard!$A$18:$A$39,0)),""))</f>
        <v/>
      </c>
    </row>
    <row r="150" customFormat="false" ht="15" hidden="false" customHeight="false" outlineLevel="0" collapsed="false">
      <c r="A150" s="24"/>
      <c r="B150" s="25"/>
      <c r="C150" s="25"/>
      <c r="D150" s="25"/>
      <c r="E150" s="6"/>
      <c r="F150" s="26" t="str">
        <f aca="false">IF(A150="","",MONTH(A150))</f>
        <v/>
      </c>
      <c r="G150" s="26" t="str">
        <f aca="false">IF(A150="","",YEAR(A150))</f>
        <v/>
      </c>
      <c r="H150" s="11" t="str">
        <f aca="false">IF(OR(C150="",B150&lt;&gt;"Pengeluaran"),"",IFERROR(INDEX(Dashboard!$B$18:$B$39,MATCH(C150,Dashboard!$A$18:$A$39,0)),""))</f>
        <v/>
      </c>
    </row>
    <row r="151" customFormat="false" ht="15" hidden="false" customHeight="false" outlineLevel="0" collapsed="false">
      <c r="A151" s="24"/>
      <c r="B151" s="25"/>
      <c r="C151" s="25"/>
      <c r="D151" s="25"/>
      <c r="E151" s="6"/>
      <c r="F151" s="26" t="str">
        <f aca="false">IF(A151="","",MONTH(A151))</f>
        <v/>
      </c>
      <c r="G151" s="26" t="str">
        <f aca="false">IF(A151="","",YEAR(A151))</f>
        <v/>
      </c>
      <c r="H151" s="11" t="str">
        <f aca="false">IF(OR(C151="",B151&lt;&gt;"Pengeluaran"),"",IFERROR(INDEX(Dashboard!$B$18:$B$39,MATCH(C151,Dashboard!$A$18:$A$39,0)),""))</f>
        <v/>
      </c>
    </row>
    <row r="152" customFormat="false" ht="15" hidden="false" customHeight="false" outlineLevel="0" collapsed="false">
      <c r="A152" s="24"/>
      <c r="B152" s="25"/>
      <c r="C152" s="25"/>
      <c r="D152" s="25"/>
      <c r="E152" s="6"/>
      <c r="F152" s="26" t="str">
        <f aca="false">IF(A152="","",MONTH(A152))</f>
        <v/>
      </c>
      <c r="G152" s="26" t="str">
        <f aca="false">IF(A152="","",YEAR(A152))</f>
        <v/>
      </c>
      <c r="H152" s="11" t="str">
        <f aca="false">IF(OR(C152="",B152&lt;&gt;"Pengeluaran"),"",IFERROR(INDEX(Dashboard!$B$18:$B$39,MATCH(C152,Dashboard!$A$18:$A$39,0)),""))</f>
        <v/>
      </c>
    </row>
    <row r="153" customFormat="false" ht="15" hidden="false" customHeight="false" outlineLevel="0" collapsed="false">
      <c r="A153" s="24"/>
      <c r="B153" s="25"/>
      <c r="C153" s="25"/>
      <c r="D153" s="25"/>
      <c r="E153" s="6"/>
      <c r="F153" s="26" t="str">
        <f aca="false">IF(A153="","",MONTH(A153))</f>
        <v/>
      </c>
      <c r="G153" s="26" t="str">
        <f aca="false">IF(A153="","",YEAR(A153))</f>
        <v/>
      </c>
      <c r="H153" s="11" t="str">
        <f aca="false">IF(OR(C153="",B153&lt;&gt;"Pengeluaran"),"",IFERROR(INDEX(Dashboard!$B$18:$B$39,MATCH(C153,Dashboard!$A$18:$A$39,0)),""))</f>
        <v/>
      </c>
    </row>
    <row r="154" customFormat="false" ht="15" hidden="false" customHeight="false" outlineLevel="0" collapsed="false">
      <c r="A154" s="24"/>
      <c r="B154" s="25"/>
      <c r="C154" s="25"/>
      <c r="D154" s="25"/>
      <c r="E154" s="6"/>
      <c r="F154" s="26" t="str">
        <f aca="false">IF(A154="","",MONTH(A154))</f>
        <v/>
      </c>
      <c r="G154" s="26" t="str">
        <f aca="false">IF(A154="","",YEAR(A154))</f>
        <v/>
      </c>
      <c r="H154" s="11" t="str">
        <f aca="false">IF(OR(C154="",B154&lt;&gt;"Pengeluaran"),"",IFERROR(INDEX(Dashboard!$B$18:$B$39,MATCH(C154,Dashboard!$A$18:$A$39,0)),""))</f>
        <v/>
      </c>
    </row>
    <row r="155" customFormat="false" ht="15" hidden="false" customHeight="false" outlineLevel="0" collapsed="false">
      <c r="A155" s="24"/>
      <c r="B155" s="25"/>
      <c r="C155" s="25"/>
      <c r="D155" s="25"/>
      <c r="E155" s="6"/>
      <c r="F155" s="26" t="str">
        <f aca="false">IF(A155="","",MONTH(A155))</f>
        <v/>
      </c>
      <c r="G155" s="26" t="str">
        <f aca="false">IF(A155="","",YEAR(A155))</f>
        <v/>
      </c>
      <c r="H155" s="11" t="str">
        <f aca="false">IF(OR(C155="",B155&lt;&gt;"Pengeluaran"),"",IFERROR(INDEX(Dashboard!$B$18:$B$39,MATCH(C155,Dashboard!$A$18:$A$39,0)),""))</f>
        <v/>
      </c>
    </row>
    <row r="156" customFormat="false" ht="15" hidden="false" customHeight="false" outlineLevel="0" collapsed="false">
      <c r="A156" s="24"/>
      <c r="B156" s="25"/>
      <c r="C156" s="25"/>
      <c r="D156" s="25"/>
      <c r="E156" s="6"/>
      <c r="F156" s="26" t="str">
        <f aca="false">IF(A156="","",MONTH(A156))</f>
        <v/>
      </c>
      <c r="G156" s="26" t="str">
        <f aca="false">IF(A156="","",YEAR(A156))</f>
        <v/>
      </c>
      <c r="H156" s="11" t="str">
        <f aca="false">IF(OR(C156="",B156&lt;&gt;"Pengeluaran"),"",IFERROR(INDEX(Dashboard!$B$18:$B$39,MATCH(C156,Dashboard!$A$18:$A$39,0)),""))</f>
        <v/>
      </c>
    </row>
    <row r="157" customFormat="false" ht="15" hidden="false" customHeight="false" outlineLevel="0" collapsed="false">
      <c r="A157" s="24"/>
      <c r="B157" s="25"/>
      <c r="C157" s="25"/>
      <c r="D157" s="25"/>
      <c r="E157" s="6"/>
      <c r="F157" s="26" t="str">
        <f aca="false">IF(A157="","",MONTH(A157))</f>
        <v/>
      </c>
      <c r="G157" s="26" t="str">
        <f aca="false">IF(A157="","",YEAR(A157))</f>
        <v/>
      </c>
      <c r="H157" s="11" t="str">
        <f aca="false">IF(OR(C157="",B157&lt;&gt;"Pengeluaran"),"",IFERROR(INDEX(Dashboard!$B$18:$B$39,MATCH(C157,Dashboard!$A$18:$A$39,0)),""))</f>
        <v/>
      </c>
    </row>
    <row r="158" customFormat="false" ht="15" hidden="false" customHeight="false" outlineLevel="0" collapsed="false">
      <c r="A158" s="24"/>
      <c r="B158" s="25"/>
      <c r="C158" s="25"/>
      <c r="D158" s="25"/>
      <c r="E158" s="6"/>
      <c r="F158" s="26" t="str">
        <f aca="false">IF(A158="","",MONTH(A158))</f>
        <v/>
      </c>
      <c r="G158" s="26" t="str">
        <f aca="false">IF(A158="","",YEAR(A158))</f>
        <v/>
      </c>
      <c r="H158" s="11" t="str">
        <f aca="false">IF(OR(C158="",B158&lt;&gt;"Pengeluaran"),"",IFERROR(INDEX(Dashboard!$B$18:$B$39,MATCH(C158,Dashboard!$A$18:$A$39,0)),""))</f>
        <v/>
      </c>
    </row>
    <row r="159" customFormat="false" ht="15" hidden="false" customHeight="false" outlineLevel="0" collapsed="false">
      <c r="A159" s="24"/>
      <c r="B159" s="25"/>
      <c r="C159" s="25"/>
      <c r="D159" s="25"/>
      <c r="E159" s="6"/>
      <c r="F159" s="26" t="str">
        <f aca="false">IF(A159="","",MONTH(A159))</f>
        <v/>
      </c>
      <c r="G159" s="26" t="str">
        <f aca="false">IF(A159="","",YEAR(A159))</f>
        <v/>
      </c>
      <c r="H159" s="11" t="str">
        <f aca="false">IF(OR(C159="",B159&lt;&gt;"Pengeluaran"),"",IFERROR(INDEX(Dashboard!$B$18:$B$39,MATCH(C159,Dashboard!$A$18:$A$39,0)),""))</f>
        <v/>
      </c>
    </row>
    <row r="160" customFormat="false" ht="15" hidden="false" customHeight="false" outlineLevel="0" collapsed="false">
      <c r="A160" s="24"/>
      <c r="B160" s="25"/>
      <c r="C160" s="25"/>
      <c r="D160" s="25"/>
      <c r="E160" s="6"/>
      <c r="F160" s="26" t="str">
        <f aca="false">IF(A160="","",MONTH(A160))</f>
        <v/>
      </c>
      <c r="G160" s="26" t="str">
        <f aca="false">IF(A160="","",YEAR(A160))</f>
        <v/>
      </c>
      <c r="H160" s="11" t="str">
        <f aca="false">IF(OR(C160="",B160&lt;&gt;"Pengeluaran"),"",IFERROR(INDEX(Dashboard!$B$18:$B$39,MATCH(C160,Dashboard!$A$18:$A$39,0)),""))</f>
        <v/>
      </c>
    </row>
    <row r="161" customFormat="false" ht="15" hidden="false" customHeight="false" outlineLevel="0" collapsed="false">
      <c r="A161" s="24"/>
      <c r="B161" s="25"/>
      <c r="C161" s="25"/>
      <c r="D161" s="25"/>
      <c r="E161" s="6"/>
      <c r="F161" s="26" t="str">
        <f aca="false">IF(A161="","",MONTH(A161))</f>
        <v/>
      </c>
      <c r="G161" s="26" t="str">
        <f aca="false">IF(A161="","",YEAR(A161))</f>
        <v/>
      </c>
      <c r="H161" s="11" t="str">
        <f aca="false">IF(OR(C161="",B161&lt;&gt;"Pengeluaran"),"",IFERROR(INDEX(Dashboard!$B$18:$B$39,MATCH(C161,Dashboard!$A$18:$A$39,0)),""))</f>
        <v/>
      </c>
    </row>
    <row r="162" customFormat="false" ht="15" hidden="false" customHeight="false" outlineLevel="0" collapsed="false">
      <c r="A162" s="24"/>
      <c r="B162" s="25"/>
      <c r="C162" s="25"/>
      <c r="D162" s="25"/>
      <c r="E162" s="6"/>
      <c r="F162" s="26" t="str">
        <f aca="false">IF(A162="","",MONTH(A162))</f>
        <v/>
      </c>
      <c r="G162" s="26" t="str">
        <f aca="false">IF(A162="","",YEAR(A162))</f>
        <v/>
      </c>
      <c r="H162" s="11" t="str">
        <f aca="false">IF(OR(C162="",B162&lt;&gt;"Pengeluaran"),"",IFERROR(INDEX(Dashboard!$B$18:$B$39,MATCH(C162,Dashboard!$A$18:$A$39,0)),""))</f>
        <v/>
      </c>
    </row>
    <row r="163" customFormat="false" ht="15" hidden="false" customHeight="false" outlineLevel="0" collapsed="false">
      <c r="A163" s="24"/>
      <c r="B163" s="25"/>
      <c r="C163" s="25"/>
      <c r="D163" s="25"/>
      <c r="E163" s="6"/>
      <c r="F163" s="26" t="str">
        <f aca="false">IF(A163="","",MONTH(A163))</f>
        <v/>
      </c>
      <c r="G163" s="26" t="str">
        <f aca="false">IF(A163="","",YEAR(A163))</f>
        <v/>
      </c>
      <c r="H163" s="11" t="str">
        <f aca="false">IF(OR(C163="",B163&lt;&gt;"Pengeluaran"),"",IFERROR(INDEX(Dashboard!$B$18:$B$39,MATCH(C163,Dashboard!$A$18:$A$39,0)),""))</f>
        <v/>
      </c>
    </row>
    <row r="164" customFormat="false" ht="15" hidden="false" customHeight="false" outlineLevel="0" collapsed="false">
      <c r="A164" s="24"/>
      <c r="B164" s="25"/>
      <c r="C164" s="25"/>
      <c r="D164" s="25"/>
      <c r="E164" s="6"/>
      <c r="F164" s="26" t="str">
        <f aca="false">IF(A164="","",MONTH(A164))</f>
        <v/>
      </c>
      <c r="G164" s="26" t="str">
        <f aca="false">IF(A164="","",YEAR(A164))</f>
        <v/>
      </c>
      <c r="H164" s="11" t="str">
        <f aca="false">IF(OR(C164="",B164&lt;&gt;"Pengeluaran"),"",IFERROR(INDEX(Dashboard!$B$18:$B$39,MATCH(C164,Dashboard!$A$18:$A$39,0)),""))</f>
        <v/>
      </c>
    </row>
    <row r="165" customFormat="false" ht="15" hidden="false" customHeight="false" outlineLevel="0" collapsed="false">
      <c r="A165" s="24"/>
      <c r="B165" s="25"/>
      <c r="C165" s="25"/>
      <c r="D165" s="25"/>
      <c r="E165" s="6"/>
      <c r="F165" s="26" t="str">
        <f aca="false">IF(A165="","",MONTH(A165))</f>
        <v/>
      </c>
      <c r="G165" s="26" t="str">
        <f aca="false">IF(A165="","",YEAR(A165))</f>
        <v/>
      </c>
      <c r="H165" s="11" t="str">
        <f aca="false">IF(OR(C165="",B165&lt;&gt;"Pengeluaran"),"",IFERROR(INDEX(Dashboard!$B$18:$B$39,MATCH(C165,Dashboard!$A$18:$A$39,0)),""))</f>
        <v/>
      </c>
    </row>
    <row r="166" customFormat="false" ht="15" hidden="false" customHeight="false" outlineLevel="0" collapsed="false">
      <c r="A166" s="24"/>
      <c r="B166" s="25"/>
      <c r="C166" s="25"/>
      <c r="D166" s="25"/>
      <c r="E166" s="6"/>
      <c r="F166" s="26" t="str">
        <f aca="false">IF(A166="","",MONTH(A166))</f>
        <v/>
      </c>
      <c r="G166" s="26" t="str">
        <f aca="false">IF(A166="","",YEAR(A166))</f>
        <v/>
      </c>
      <c r="H166" s="11" t="str">
        <f aca="false">IF(OR(C166="",B166&lt;&gt;"Pengeluaran"),"",IFERROR(INDEX(Dashboard!$B$18:$B$39,MATCH(C166,Dashboard!$A$18:$A$39,0)),""))</f>
        <v/>
      </c>
    </row>
    <row r="167" customFormat="false" ht="15" hidden="false" customHeight="false" outlineLevel="0" collapsed="false">
      <c r="A167" s="24"/>
      <c r="B167" s="25"/>
      <c r="C167" s="25"/>
      <c r="D167" s="25"/>
      <c r="E167" s="6"/>
      <c r="F167" s="26" t="str">
        <f aca="false">IF(A167="","",MONTH(A167))</f>
        <v/>
      </c>
      <c r="G167" s="26" t="str">
        <f aca="false">IF(A167="","",YEAR(A167))</f>
        <v/>
      </c>
      <c r="H167" s="11" t="str">
        <f aca="false">IF(OR(C167="",B167&lt;&gt;"Pengeluaran"),"",IFERROR(INDEX(Dashboard!$B$18:$B$39,MATCH(C167,Dashboard!$A$18:$A$39,0)),""))</f>
        <v/>
      </c>
    </row>
    <row r="168" customFormat="false" ht="15" hidden="false" customHeight="false" outlineLevel="0" collapsed="false">
      <c r="A168" s="24"/>
      <c r="B168" s="25"/>
      <c r="C168" s="25"/>
      <c r="D168" s="25"/>
      <c r="E168" s="6"/>
      <c r="F168" s="26" t="str">
        <f aca="false">IF(A168="","",MONTH(A168))</f>
        <v/>
      </c>
      <c r="G168" s="26" t="str">
        <f aca="false">IF(A168="","",YEAR(A168))</f>
        <v/>
      </c>
      <c r="H168" s="11" t="str">
        <f aca="false">IF(OR(C168="",B168&lt;&gt;"Pengeluaran"),"",IFERROR(INDEX(Dashboard!$B$18:$B$39,MATCH(C168,Dashboard!$A$18:$A$39,0)),""))</f>
        <v/>
      </c>
    </row>
    <row r="169" customFormat="false" ht="15" hidden="false" customHeight="false" outlineLevel="0" collapsed="false">
      <c r="A169" s="24"/>
      <c r="B169" s="25"/>
      <c r="C169" s="25"/>
      <c r="D169" s="25"/>
      <c r="E169" s="6"/>
      <c r="F169" s="26" t="str">
        <f aca="false">IF(A169="","",MONTH(A169))</f>
        <v/>
      </c>
      <c r="G169" s="26" t="str">
        <f aca="false">IF(A169="","",YEAR(A169))</f>
        <v/>
      </c>
      <c r="H169" s="11" t="str">
        <f aca="false">IF(OR(C169="",B169&lt;&gt;"Pengeluaran"),"",IFERROR(INDEX(Dashboard!$B$18:$B$39,MATCH(C169,Dashboard!$A$18:$A$39,0)),""))</f>
        <v/>
      </c>
    </row>
    <row r="170" customFormat="false" ht="15" hidden="false" customHeight="false" outlineLevel="0" collapsed="false">
      <c r="A170" s="24"/>
      <c r="B170" s="25"/>
      <c r="C170" s="25"/>
      <c r="D170" s="25"/>
      <c r="E170" s="6"/>
      <c r="F170" s="26" t="str">
        <f aca="false">IF(A170="","",MONTH(A170))</f>
        <v/>
      </c>
      <c r="G170" s="26" t="str">
        <f aca="false">IF(A170="","",YEAR(A170))</f>
        <v/>
      </c>
      <c r="H170" s="11" t="str">
        <f aca="false">IF(OR(C170="",B170&lt;&gt;"Pengeluaran"),"",IFERROR(INDEX(Dashboard!$B$18:$B$39,MATCH(C170,Dashboard!$A$18:$A$39,0)),""))</f>
        <v/>
      </c>
    </row>
    <row r="171" customFormat="false" ht="15" hidden="false" customHeight="false" outlineLevel="0" collapsed="false">
      <c r="A171" s="24"/>
      <c r="B171" s="25"/>
      <c r="C171" s="25"/>
      <c r="D171" s="25"/>
      <c r="E171" s="6"/>
      <c r="F171" s="26" t="str">
        <f aca="false">IF(A171="","",MONTH(A171))</f>
        <v/>
      </c>
      <c r="G171" s="26" t="str">
        <f aca="false">IF(A171="","",YEAR(A171))</f>
        <v/>
      </c>
      <c r="H171" s="11" t="str">
        <f aca="false">IF(OR(C171="",B171&lt;&gt;"Pengeluaran"),"",IFERROR(INDEX(Dashboard!$B$18:$B$39,MATCH(C171,Dashboard!$A$18:$A$39,0)),""))</f>
        <v/>
      </c>
    </row>
    <row r="172" customFormat="false" ht="15" hidden="false" customHeight="false" outlineLevel="0" collapsed="false">
      <c r="A172" s="24"/>
      <c r="B172" s="25"/>
      <c r="C172" s="25"/>
      <c r="D172" s="25"/>
      <c r="E172" s="6"/>
      <c r="F172" s="26" t="str">
        <f aca="false">IF(A172="","",MONTH(A172))</f>
        <v/>
      </c>
      <c r="G172" s="26" t="str">
        <f aca="false">IF(A172="","",YEAR(A172))</f>
        <v/>
      </c>
      <c r="H172" s="11" t="str">
        <f aca="false">IF(OR(C172="",B172&lt;&gt;"Pengeluaran"),"",IFERROR(INDEX(Dashboard!$B$18:$B$39,MATCH(C172,Dashboard!$A$18:$A$39,0)),""))</f>
        <v/>
      </c>
    </row>
    <row r="173" customFormat="false" ht="15" hidden="false" customHeight="false" outlineLevel="0" collapsed="false">
      <c r="A173" s="24"/>
      <c r="B173" s="25"/>
      <c r="C173" s="25"/>
      <c r="D173" s="25"/>
      <c r="E173" s="6"/>
      <c r="F173" s="26" t="str">
        <f aca="false">IF(A173="","",MONTH(A173))</f>
        <v/>
      </c>
      <c r="G173" s="26" t="str">
        <f aca="false">IF(A173="","",YEAR(A173))</f>
        <v/>
      </c>
      <c r="H173" s="11" t="str">
        <f aca="false">IF(OR(C173="",B173&lt;&gt;"Pengeluaran"),"",IFERROR(INDEX(Dashboard!$B$18:$B$39,MATCH(C173,Dashboard!$A$18:$A$39,0)),""))</f>
        <v/>
      </c>
    </row>
    <row r="174" customFormat="false" ht="15" hidden="false" customHeight="false" outlineLevel="0" collapsed="false">
      <c r="A174" s="24"/>
      <c r="B174" s="25"/>
      <c r="C174" s="25"/>
      <c r="D174" s="25"/>
      <c r="E174" s="6"/>
      <c r="F174" s="26" t="str">
        <f aca="false">IF(A174="","",MONTH(A174))</f>
        <v/>
      </c>
      <c r="G174" s="26" t="str">
        <f aca="false">IF(A174="","",YEAR(A174))</f>
        <v/>
      </c>
      <c r="H174" s="11" t="str">
        <f aca="false">IF(OR(C174="",B174&lt;&gt;"Pengeluaran"),"",IFERROR(INDEX(Dashboard!$B$18:$B$39,MATCH(C174,Dashboard!$A$18:$A$39,0)),""))</f>
        <v/>
      </c>
    </row>
    <row r="175" customFormat="false" ht="15" hidden="false" customHeight="false" outlineLevel="0" collapsed="false">
      <c r="A175" s="24"/>
      <c r="B175" s="25"/>
      <c r="C175" s="25"/>
      <c r="D175" s="25"/>
      <c r="E175" s="6"/>
      <c r="F175" s="26" t="str">
        <f aca="false">IF(A175="","",MONTH(A175))</f>
        <v/>
      </c>
      <c r="G175" s="26" t="str">
        <f aca="false">IF(A175="","",YEAR(A175))</f>
        <v/>
      </c>
      <c r="H175" s="11" t="str">
        <f aca="false">IF(OR(C175="",B175&lt;&gt;"Pengeluaran"),"",IFERROR(INDEX(Dashboard!$B$18:$B$39,MATCH(C175,Dashboard!$A$18:$A$39,0)),""))</f>
        <v/>
      </c>
    </row>
    <row r="176" customFormat="false" ht="15" hidden="false" customHeight="false" outlineLevel="0" collapsed="false">
      <c r="A176" s="24"/>
      <c r="B176" s="25"/>
      <c r="C176" s="25"/>
      <c r="D176" s="25"/>
      <c r="E176" s="6"/>
      <c r="F176" s="26" t="str">
        <f aca="false">IF(A176="","",MONTH(A176))</f>
        <v/>
      </c>
      <c r="G176" s="26" t="str">
        <f aca="false">IF(A176="","",YEAR(A176))</f>
        <v/>
      </c>
      <c r="H176" s="11" t="str">
        <f aca="false">IF(OR(C176="",B176&lt;&gt;"Pengeluaran"),"",IFERROR(INDEX(Dashboard!$B$18:$B$39,MATCH(C176,Dashboard!$A$18:$A$39,0)),""))</f>
        <v/>
      </c>
    </row>
    <row r="177" customFormat="false" ht="15" hidden="false" customHeight="false" outlineLevel="0" collapsed="false">
      <c r="A177" s="24"/>
      <c r="B177" s="25"/>
      <c r="C177" s="25"/>
      <c r="D177" s="25"/>
      <c r="E177" s="6"/>
      <c r="F177" s="26" t="str">
        <f aca="false">IF(A177="","",MONTH(A177))</f>
        <v/>
      </c>
      <c r="G177" s="26" t="str">
        <f aca="false">IF(A177="","",YEAR(A177))</f>
        <v/>
      </c>
      <c r="H177" s="11" t="str">
        <f aca="false">IF(OR(C177="",B177&lt;&gt;"Pengeluaran"),"",IFERROR(INDEX(Dashboard!$B$18:$B$39,MATCH(C177,Dashboard!$A$18:$A$39,0)),""))</f>
        <v/>
      </c>
    </row>
    <row r="178" customFormat="false" ht="15" hidden="false" customHeight="false" outlineLevel="0" collapsed="false">
      <c r="A178" s="24"/>
      <c r="B178" s="25"/>
      <c r="C178" s="25"/>
      <c r="D178" s="25"/>
      <c r="E178" s="6"/>
      <c r="F178" s="26" t="str">
        <f aca="false">IF(A178="","",MONTH(A178))</f>
        <v/>
      </c>
      <c r="G178" s="26" t="str">
        <f aca="false">IF(A178="","",YEAR(A178))</f>
        <v/>
      </c>
      <c r="H178" s="11" t="str">
        <f aca="false">IF(OR(C178="",B178&lt;&gt;"Pengeluaran"),"",IFERROR(INDEX(Dashboard!$B$18:$B$39,MATCH(C178,Dashboard!$A$18:$A$39,0)),""))</f>
        <v/>
      </c>
    </row>
    <row r="179" customFormat="false" ht="15" hidden="false" customHeight="false" outlineLevel="0" collapsed="false">
      <c r="A179" s="24"/>
      <c r="B179" s="25"/>
      <c r="C179" s="25"/>
      <c r="D179" s="25"/>
      <c r="E179" s="6"/>
      <c r="F179" s="26" t="str">
        <f aca="false">IF(A179="","",MONTH(A179))</f>
        <v/>
      </c>
      <c r="G179" s="26" t="str">
        <f aca="false">IF(A179="","",YEAR(A179))</f>
        <v/>
      </c>
      <c r="H179" s="11" t="str">
        <f aca="false">IF(OR(C179="",B179&lt;&gt;"Pengeluaran"),"",IFERROR(INDEX(Dashboard!$B$18:$B$39,MATCH(C179,Dashboard!$A$18:$A$39,0)),""))</f>
        <v/>
      </c>
    </row>
    <row r="180" customFormat="false" ht="15" hidden="false" customHeight="false" outlineLevel="0" collapsed="false">
      <c r="A180" s="24"/>
      <c r="B180" s="25"/>
      <c r="C180" s="25"/>
      <c r="D180" s="25"/>
      <c r="E180" s="6"/>
      <c r="F180" s="26" t="str">
        <f aca="false">IF(A180="","",MONTH(A180))</f>
        <v/>
      </c>
      <c r="G180" s="26" t="str">
        <f aca="false">IF(A180="","",YEAR(A180))</f>
        <v/>
      </c>
      <c r="H180" s="11" t="str">
        <f aca="false">IF(OR(C180="",B180&lt;&gt;"Pengeluaran"),"",IFERROR(INDEX(Dashboard!$B$18:$B$39,MATCH(C180,Dashboard!$A$18:$A$39,0)),""))</f>
        <v/>
      </c>
    </row>
    <row r="181" customFormat="false" ht="15" hidden="false" customHeight="false" outlineLevel="0" collapsed="false">
      <c r="A181" s="24"/>
      <c r="B181" s="25"/>
      <c r="C181" s="25"/>
      <c r="D181" s="25"/>
      <c r="E181" s="6"/>
      <c r="F181" s="26" t="str">
        <f aca="false">IF(A181="","",MONTH(A181))</f>
        <v/>
      </c>
      <c r="G181" s="26" t="str">
        <f aca="false">IF(A181="","",YEAR(A181))</f>
        <v/>
      </c>
      <c r="H181" s="11" t="str">
        <f aca="false">IF(OR(C181="",B181&lt;&gt;"Pengeluaran"),"",IFERROR(INDEX(Dashboard!$B$18:$B$39,MATCH(C181,Dashboard!$A$18:$A$39,0)),""))</f>
        <v/>
      </c>
    </row>
    <row r="182" customFormat="false" ht="15" hidden="false" customHeight="false" outlineLevel="0" collapsed="false">
      <c r="A182" s="24"/>
      <c r="B182" s="25"/>
      <c r="C182" s="25"/>
      <c r="D182" s="25"/>
      <c r="E182" s="6"/>
      <c r="F182" s="26" t="str">
        <f aca="false">IF(A182="","",MONTH(A182))</f>
        <v/>
      </c>
      <c r="G182" s="26" t="str">
        <f aca="false">IF(A182="","",YEAR(A182))</f>
        <v/>
      </c>
      <c r="H182" s="11" t="str">
        <f aca="false">IF(OR(C182="",B182&lt;&gt;"Pengeluaran"),"",IFERROR(INDEX(Dashboard!$B$18:$B$39,MATCH(C182,Dashboard!$A$18:$A$39,0)),""))</f>
        <v/>
      </c>
    </row>
    <row r="183" customFormat="false" ht="15" hidden="false" customHeight="false" outlineLevel="0" collapsed="false">
      <c r="A183" s="24"/>
      <c r="B183" s="25"/>
      <c r="C183" s="25"/>
      <c r="D183" s="25"/>
      <c r="E183" s="6"/>
      <c r="F183" s="26" t="str">
        <f aca="false">IF(A183="","",MONTH(A183))</f>
        <v/>
      </c>
      <c r="G183" s="26" t="str">
        <f aca="false">IF(A183="","",YEAR(A183))</f>
        <v/>
      </c>
      <c r="H183" s="11" t="str">
        <f aca="false">IF(OR(C183="",B183&lt;&gt;"Pengeluaran"),"",IFERROR(INDEX(Dashboard!$B$18:$B$39,MATCH(C183,Dashboard!$A$18:$A$39,0)),""))</f>
        <v/>
      </c>
    </row>
    <row r="184" customFormat="false" ht="15" hidden="false" customHeight="false" outlineLevel="0" collapsed="false">
      <c r="A184" s="24"/>
      <c r="B184" s="25"/>
      <c r="C184" s="25"/>
      <c r="D184" s="25"/>
      <c r="E184" s="6"/>
      <c r="F184" s="26" t="str">
        <f aca="false">IF(A184="","",MONTH(A184))</f>
        <v/>
      </c>
      <c r="G184" s="26" t="str">
        <f aca="false">IF(A184="","",YEAR(A184))</f>
        <v/>
      </c>
      <c r="H184" s="11" t="str">
        <f aca="false">IF(OR(C184="",B184&lt;&gt;"Pengeluaran"),"",IFERROR(INDEX(Dashboard!$B$18:$B$39,MATCH(C184,Dashboard!$A$18:$A$39,0)),""))</f>
        <v/>
      </c>
    </row>
    <row r="185" customFormat="false" ht="15" hidden="false" customHeight="false" outlineLevel="0" collapsed="false">
      <c r="A185" s="24"/>
      <c r="B185" s="25"/>
      <c r="C185" s="25"/>
      <c r="D185" s="25"/>
      <c r="E185" s="6"/>
      <c r="F185" s="26" t="str">
        <f aca="false">IF(A185="","",MONTH(A185))</f>
        <v/>
      </c>
      <c r="G185" s="26" t="str">
        <f aca="false">IF(A185="","",YEAR(A185))</f>
        <v/>
      </c>
      <c r="H185" s="11" t="str">
        <f aca="false">IF(OR(C185="",B185&lt;&gt;"Pengeluaran"),"",IFERROR(INDEX(Dashboard!$B$18:$B$39,MATCH(C185,Dashboard!$A$18:$A$39,0)),""))</f>
        <v/>
      </c>
    </row>
    <row r="186" customFormat="false" ht="15" hidden="false" customHeight="false" outlineLevel="0" collapsed="false">
      <c r="A186" s="24"/>
      <c r="B186" s="25"/>
      <c r="C186" s="25"/>
      <c r="D186" s="25"/>
      <c r="E186" s="6"/>
      <c r="F186" s="26" t="str">
        <f aca="false">IF(A186="","",MONTH(A186))</f>
        <v/>
      </c>
      <c r="G186" s="26" t="str">
        <f aca="false">IF(A186="","",YEAR(A186))</f>
        <v/>
      </c>
      <c r="H186" s="11" t="str">
        <f aca="false">IF(OR(C186="",B186&lt;&gt;"Pengeluaran"),"",IFERROR(INDEX(Dashboard!$B$18:$B$39,MATCH(C186,Dashboard!$A$18:$A$39,0)),""))</f>
        <v/>
      </c>
    </row>
    <row r="187" customFormat="false" ht="15" hidden="false" customHeight="false" outlineLevel="0" collapsed="false">
      <c r="A187" s="24"/>
      <c r="B187" s="25"/>
      <c r="C187" s="25"/>
      <c r="D187" s="25"/>
      <c r="E187" s="6"/>
      <c r="F187" s="26" t="str">
        <f aca="false">IF(A187="","",MONTH(A187))</f>
        <v/>
      </c>
      <c r="G187" s="26" t="str">
        <f aca="false">IF(A187="","",YEAR(A187))</f>
        <v/>
      </c>
      <c r="H187" s="11" t="str">
        <f aca="false">IF(OR(C187="",B187&lt;&gt;"Pengeluaran"),"",IFERROR(INDEX(Dashboard!$B$18:$B$39,MATCH(C187,Dashboard!$A$18:$A$39,0)),""))</f>
        <v/>
      </c>
    </row>
    <row r="188" customFormat="false" ht="15" hidden="false" customHeight="false" outlineLevel="0" collapsed="false">
      <c r="A188" s="24"/>
      <c r="B188" s="25"/>
      <c r="C188" s="25"/>
      <c r="D188" s="25"/>
      <c r="E188" s="6"/>
      <c r="F188" s="26" t="str">
        <f aca="false">IF(A188="","",MONTH(A188))</f>
        <v/>
      </c>
      <c r="G188" s="26" t="str">
        <f aca="false">IF(A188="","",YEAR(A188))</f>
        <v/>
      </c>
      <c r="H188" s="11" t="str">
        <f aca="false">IF(OR(C188="",B188&lt;&gt;"Pengeluaran"),"",IFERROR(INDEX(Dashboard!$B$18:$B$39,MATCH(C188,Dashboard!$A$18:$A$39,0)),""))</f>
        <v/>
      </c>
    </row>
    <row r="189" customFormat="false" ht="15" hidden="false" customHeight="false" outlineLevel="0" collapsed="false">
      <c r="A189" s="24"/>
      <c r="B189" s="25"/>
      <c r="C189" s="25"/>
      <c r="D189" s="25"/>
      <c r="E189" s="6"/>
      <c r="F189" s="26" t="str">
        <f aca="false">IF(A189="","",MONTH(A189))</f>
        <v/>
      </c>
      <c r="G189" s="26" t="str">
        <f aca="false">IF(A189="","",YEAR(A189))</f>
        <v/>
      </c>
      <c r="H189" s="11" t="str">
        <f aca="false">IF(OR(C189="",B189&lt;&gt;"Pengeluaran"),"",IFERROR(INDEX(Dashboard!$B$18:$B$39,MATCH(C189,Dashboard!$A$18:$A$39,0)),""))</f>
        <v/>
      </c>
    </row>
    <row r="190" customFormat="false" ht="15" hidden="false" customHeight="false" outlineLevel="0" collapsed="false">
      <c r="A190" s="24"/>
      <c r="B190" s="25"/>
      <c r="C190" s="25"/>
      <c r="D190" s="25"/>
      <c r="E190" s="6"/>
      <c r="F190" s="26" t="str">
        <f aca="false">IF(A190="","",MONTH(A190))</f>
        <v/>
      </c>
      <c r="G190" s="26" t="str">
        <f aca="false">IF(A190="","",YEAR(A190))</f>
        <v/>
      </c>
      <c r="H190" s="11" t="str">
        <f aca="false">IF(OR(C190="",B190&lt;&gt;"Pengeluaran"),"",IFERROR(INDEX(Dashboard!$B$18:$B$39,MATCH(C190,Dashboard!$A$18:$A$39,0)),""))</f>
        <v/>
      </c>
    </row>
    <row r="191" customFormat="false" ht="15" hidden="false" customHeight="false" outlineLevel="0" collapsed="false">
      <c r="A191" s="24"/>
      <c r="B191" s="25"/>
      <c r="C191" s="25"/>
      <c r="D191" s="25"/>
      <c r="E191" s="6"/>
      <c r="F191" s="26" t="str">
        <f aca="false">IF(A191="","",MONTH(A191))</f>
        <v/>
      </c>
      <c r="G191" s="26" t="str">
        <f aca="false">IF(A191="","",YEAR(A191))</f>
        <v/>
      </c>
      <c r="H191" s="11" t="str">
        <f aca="false">IF(OR(C191="",B191&lt;&gt;"Pengeluaran"),"",IFERROR(INDEX(Dashboard!$B$18:$B$39,MATCH(C191,Dashboard!$A$18:$A$39,0)),""))</f>
        <v/>
      </c>
    </row>
    <row r="192" customFormat="false" ht="15" hidden="false" customHeight="false" outlineLevel="0" collapsed="false">
      <c r="A192" s="24"/>
      <c r="B192" s="25"/>
      <c r="C192" s="25"/>
      <c r="D192" s="25"/>
      <c r="E192" s="6"/>
      <c r="F192" s="26" t="str">
        <f aca="false">IF(A192="","",MONTH(A192))</f>
        <v/>
      </c>
      <c r="G192" s="26" t="str">
        <f aca="false">IF(A192="","",YEAR(A192))</f>
        <v/>
      </c>
      <c r="H192" s="11" t="str">
        <f aca="false">IF(OR(C192="",B192&lt;&gt;"Pengeluaran"),"",IFERROR(INDEX(Dashboard!$B$18:$B$39,MATCH(C192,Dashboard!$A$18:$A$39,0)),""))</f>
        <v/>
      </c>
    </row>
    <row r="193" customFormat="false" ht="15" hidden="false" customHeight="false" outlineLevel="0" collapsed="false">
      <c r="A193" s="24"/>
      <c r="B193" s="25"/>
      <c r="C193" s="25"/>
      <c r="D193" s="25"/>
      <c r="E193" s="6"/>
      <c r="F193" s="26" t="str">
        <f aca="false">IF(A193="","",MONTH(A193))</f>
        <v/>
      </c>
      <c r="G193" s="26" t="str">
        <f aca="false">IF(A193="","",YEAR(A193))</f>
        <v/>
      </c>
      <c r="H193" s="11" t="str">
        <f aca="false">IF(OR(C193="",B193&lt;&gt;"Pengeluaran"),"",IFERROR(INDEX(Dashboard!$B$18:$B$39,MATCH(C193,Dashboard!$A$18:$A$39,0)),""))</f>
        <v/>
      </c>
    </row>
    <row r="194" customFormat="false" ht="15" hidden="false" customHeight="false" outlineLevel="0" collapsed="false">
      <c r="A194" s="24"/>
      <c r="B194" s="25"/>
      <c r="C194" s="25"/>
      <c r="D194" s="25"/>
      <c r="E194" s="6"/>
      <c r="F194" s="26" t="str">
        <f aca="false">IF(A194="","",MONTH(A194))</f>
        <v/>
      </c>
      <c r="G194" s="26" t="str">
        <f aca="false">IF(A194="","",YEAR(A194))</f>
        <v/>
      </c>
      <c r="H194" s="11" t="str">
        <f aca="false">IF(OR(C194="",B194&lt;&gt;"Pengeluaran"),"",IFERROR(INDEX(Dashboard!$B$18:$B$39,MATCH(C194,Dashboard!$A$18:$A$39,0)),""))</f>
        <v/>
      </c>
    </row>
    <row r="195" customFormat="false" ht="15" hidden="false" customHeight="false" outlineLevel="0" collapsed="false">
      <c r="A195" s="24"/>
      <c r="B195" s="25"/>
      <c r="C195" s="25"/>
      <c r="D195" s="25"/>
      <c r="E195" s="6"/>
      <c r="F195" s="26" t="str">
        <f aca="false">IF(A195="","",MONTH(A195))</f>
        <v/>
      </c>
      <c r="G195" s="26" t="str">
        <f aca="false">IF(A195="","",YEAR(A195))</f>
        <v/>
      </c>
      <c r="H195" s="11" t="str">
        <f aca="false">IF(OR(C195="",B195&lt;&gt;"Pengeluaran"),"",IFERROR(INDEX(Dashboard!$B$18:$B$39,MATCH(C195,Dashboard!$A$18:$A$39,0)),""))</f>
        <v/>
      </c>
    </row>
    <row r="196" customFormat="false" ht="15" hidden="false" customHeight="false" outlineLevel="0" collapsed="false">
      <c r="A196" s="24"/>
      <c r="B196" s="25"/>
      <c r="C196" s="25"/>
      <c r="D196" s="25"/>
      <c r="E196" s="6"/>
      <c r="F196" s="26" t="str">
        <f aca="false">IF(A196="","",MONTH(A196))</f>
        <v/>
      </c>
      <c r="G196" s="26" t="str">
        <f aca="false">IF(A196="","",YEAR(A196))</f>
        <v/>
      </c>
      <c r="H196" s="11" t="str">
        <f aca="false">IF(OR(C196="",B196&lt;&gt;"Pengeluaran"),"",IFERROR(INDEX(Dashboard!$B$18:$B$39,MATCH(C196,Dashboard!$A$18:$A$39,0)),""))</f>
        <v/>
      </c>
    </row>
    <row r="197" customFormat="false" ht="15" hidden="false" customHeight="false" outlineLevel="0" collapsed="false">
      <c r="A197" s="24"/>
      <c r="B197" s="25"/>
      <c r="C197" s="25"/>
      <c r="D197" s="25"/>
      <c r="E197" s="6"/>
      <c r="F197" s="26" t="str">
        <f aca="false">IF(A197="","",MONTH(A197))</f>
        <v/>
      </c>
      <c r="G197" s="26" t="str">
        <f aca="false">IF(A197="","",YEAR(A197))</f>
        <v/>
      </c>
      <c r="H197" s="11" t="str">
        <f aca="false">IF(OR(C197="",B197&lt;&gt;"Pengeluaran"),"",IFERROR(INDEX(Dashboard!$B$18:$B$39,MATCH(C197,Dashboard!$A$18:$A$39,0)),""))</f>
        <v/>
      </c>
    </row>
    <row r="198" customFormat="false" ht="15" hidden="false" customHeight="false" outlineLevel="0" collapsed="false">
      <c r="A198" s="24"/>
      <c r="B198" s="25"/>
      <c r="C198" s="25"/>
      <c r="D198" s="25"/>
      <c r="E198" s="6"/>
      <c r="F198" s="26" t="str">
        <f aca="false">IF(A198="","",MONTH(A198))</f>
        <v/>
      </c>
      <c r="G198" s="26" t="str">
        <f aca="false">IF(A198="","",YEAR(A198))</f>
        <v/>
      </c>
      <c r="H198" s="11" t="str">
        <f aca="false">IF(OR(C198="",B198&lt;&gt;"Pengeluaran"),"",IFERROR(INDEX(Dashboard!$B$18:$B$39,MATCH(C198,Dashboard!$A$18:$A$39,0)),""))</f>
        <v/>
      </c>
    </row>
    <row r="199" customFormat="false" ht="15" hidden="false" customHeight="false" outlineLevel="0" collapsed="false">
      <c r="A199" s="24"/>
      <c r="B199" s="25"/>
      <c r="C199" s="25"/>
      <c r="D199" s="25"/>
      <c r="E199" s="6"/>
      <c r="F199" s="26" t="str">
        <f aca="false">IF(A199="","",MONTH(A199))</f>
        <v/>
      </c>
      <c r="G199" s="26" t="str">
        <f aca="false">IF(A199="","",YEAR(A199))</f>
        <v/>
      </c>
      <c r="H199" s="11" t="str">
        <f aca="false">IF(OR(C199="",B199&lt;&gt;"Pengeluaran"),"",IFERROR(INDEX(Dashboard!$B$18:$B$39,MATCH(C199,Dashboard!$A$18:$A$39,0)),""))</f>
        <v/>
      </c>
    </row>
    <row r="200" customFormat="false" ht="15" hidden="false" customHeight="false" outlineLevel="0" collapsed="false">
      <c r="A200" s="24"/>
      <c r="B200" s="25"/>
      <c r="C200" s="25"/>
      <c r="D200" s="25"/>
      <c r="E200" s="6"/>
      <c r="F200" s="26" t="str">
        <f aca="false">IF(A200="","",MONTH(A200))</f>
        <v/>
      </c>
      <c r="G200" s="26" t="str">
        <f aca="false">IF(A200="","",YEAR(A200))</f>
        <v/>
      </c>
      <c r="H200" s="11" t="str">
        <f aca="false">IF(OR(C200="",B200&lt;&gt;"Pengeluaran"),"",IFERROR(INDEX(Dashboard!$B$18:$B$39,MATCH(C200,Dashboard!$A$18:$A$39,0)),""))</f>
        <v/>
      </c>
    </row>
    <row r="201" customFormat="false" ht="15" hidden="false" customHeight="false" outlineLevel="0" collapsed="false">
      <c r="A201" s="24"/>
      <c r="B201" s="25"/>
      <c r="C201" s="25"/>
      <c r="D201" s="25"/>
      <c r="E201" s="6"/>
      <c r="F201" s="26" t="str">
        <f aca="false">IF(A201="","",MONTH(A201))</f>
        <v/>
      </c>
      <c r="G201" s="26" t="str">
        <f aca="false">IF(A201="","",YEAR(A201))</f>
        <v/>
      </c>
      <c r="H201" s="11" t="str">
        <f aca="false">IF(OR(C201="",B201&lt;&gt;"Pengeluaran"),"",IFERROR(INDEX(Dashboard!$B$18:$B$39,MATCH(C201,Dashboard!$A$18:$A$39,0)),""))</f>
        <v/>
      </c>
    </row>
    <row r="202" customFormat="false" ht="15" hidden="false" customHeight="false" outlineLevel="0" collapsed="false">
      <c r="A202" s="24"/>
      <c r="B202" s="25"/>
      <c r="C202" s="25"/>
      <c r="D202" s="25"/>
      <c r="E202" s="6"/>
      <c r="F202" s="26" t="str">
        <f aca="false">IF(A202="","",MONTH(A202))</f>
        <v/>
      </c>
      <c r="G202" s="26" t="str">
        <f aca="false">IF(A202="","",YEAR(A202))</f>
        <v/>
      </c>
      <c r="H202" s="11" t="str">
        <f aca="false">IF(OR(C202="",B202&lt;&gt;"Pengeluaran"),"",IFERROR(INDEX(Dashboard!$B$18:$B$39,MATCH(C202,Dashboard!$A$18:$A$39,0)),""))</f>
        <v/>
      </c>
    </row>
    <row r="203" customFormat="false" ht="15" hidden="false" customHeight="false" outlineLevel="0" collapsed="false">
      <c r="A203" s="24"/>
      <c r="B203" s="25"/>
      <c r="C203" s="25"/>
      <c r="D203" s="25"/>
      <c r="E203" s="6"/>
      <c r="F203" s="26" t="str">
        <f aca="false">IF(A203="","",MONTH(A203))</f>
        <v/>
      </c>
      <c r="G203" s="26" t="str">
        <f aca="false">IF(A203="","",YEAR(A203))</f>
        <v/>
      </c>
      <c r="H203" s="11" t="str">
        <f aca="false">IF(OR(C203="",B203&lt;&gt;"Pengeluaran"),"",IFERROR(INDEX(Dashboard!$B$18:$B$39,MATCH(C203,Dashboard!$A$18:$A$39,0)),""))</f>
        <v/>
      </c>
    </row>
    <row r="204" customFormat="false" ht="15" hidden="false" customHeight="false" outlineLevel="0" collapsed="false">
      <c r="A204" s="24"/>
      <c r="B204" s="25"/>
      <c r="C204" s="25"/>
      <c r="D204" s="25"/>
      <c r="E204" s="6"/>
      <c r="F204" s="26" t="str">
        <f aca="false">IF(A204="","",MONTH(A204))</f>
        <v/>
      </c>
      <c r="G204" s="26" t="str">
        <f aca="false">IF(A204="","",YEAR(A204))</f>
        <v/>
      </c>
      <c r="H204" s="11" t="str">
        <f aca="false">IF(OR(C204="",B204&lt;&gt;"Pengeluaran"),"",IFERROR(INDEX(Dashboard!$B$18:$B$39,MATCH(C204,Dashboard!$A$18:$A$39,0)),""))</f>
        <v/>
      </c>
    </row>
    <row r="205" customFormat="false" ht="15" hidden="false" customHeight="false" outlineLevel="0" collapsed="false">
      <c r="A205" s="24"/>
      <c r="B205" s="25"/>
      <c r="C205" s="25"/>
      <c r="D205" s="25"/>
      <c r="E205" s="6"/>
      <c r="F205" s="26" t="str">
        <f aca="false">IF(A205="","",MONTH(A205))</f>
        <v/>
      </c>
      <c r="G205" s="26" t="str">
        <f aca="false">IF(A205="","",YEAR(A205))</f>
        <v/>
      </c>
      <c r="H205" s="11" t="str">
        <f aca="false">IF(OR(C205="",B205&lt;&gt;"Pengeluaran"),"",IFERROR(INDEX(Dashboard!$B$18:$B$39,MATCH(C205,Dashboard!$A$18:$A$39,0)),""))</f>
        <v/>
      </c>
    </row>
    <row r="206" customFormat="false" ht="15" hidden="false" customHeight="false" outlineLevel="0" collapsed="false">
      <c r="A206" s="24"/>
      <c r="B206" s="25"/>
      <c r="C206" s="25"/>
      <c r="D206" s="25"/>
      <c r="E206" s="6"/>
      <c r="F206" s="26" t="str">
        <f aca="false">IF(A206="","",MONTH(A206))</f>
        <v/>
      </c>
      <c r="G206" s="26" t="str">
        <f aca="false">IF(A206="","",YEAR(A206))</f>
        <v/>
      </c>
      <c r="H206" s="11" t="str">
        <f aca="false">IF(OR(C206="",B206&lt;&gt;"Pengeluaran"),"",IFERROR(INDEX(Dashboard!$B$18:$B$39,MATCH(C206,Dashboard!$A$18:$A$39,0)),""))</f>
        <v/>
      </c>
    </row>
    <row r="207" customFormat="false" ht="15" hidden="false" customHeight="false" outlineLevel="0" collapsed="false">
      <c r="A207" s="24"/>
      <c r="B207" s="25"/>
      <c r="C207" s="25"/>
      <c r="D207" s="25"/>
      <c r="E207" s="6"/>
      <c r="F207" s="26" t="str">
        <f aca="false">IF(A207="","",MONTH(A207))</f>
        <v/>
      </c>
      <c r="G207" s="26" t="str">
        <f aca="false">IF(A207="","",YEAR(A207))</f>
        <v/>
      </c>
      <c r="H207" s="11" t="str">
        <f aca="false">IF(OR(C207="",B207&lt;&gt;"Pengeluaran"),"",IFERROR(INDEX(Dashboard!$B$18:$B$39,MATCH(C207,Dashboard!$A$18:$A$39,0)),""))</f>
        <v/>
      </c>
    </row>
    <row r="208" customFormat="false" ht="15" hidden="false" customHeight="false" outlineLevel="0" collapsed="false">
      <c r="A208" s="24"/>
      <c r="B208" s="25"/>
      <c r="C208" s="25"/>
      <c r="D208" s="25"/>
      <c r="E208" s="6"/>
      <c r="F208" s="26" t="str">
        <f aca="false">IF(A208="","",MONTH(A208))</f>
        <v/>
      </c>
      <c r="G208" s="26" t="str">
        <f aca="false">IF(A208="","",YEAR(A208))</f>
        <v/>
      </c>
      <c r="H208" s="11" t="str">
        <f aca="false">IF(OR(C208="",B208&lt;&gt;"Pengeluaran"),"",IFERROR(INDEX(Dashboard!$B$18:$B$39,MATCH(C208,Dashboard!$A$18:$A$39,0)),""))</f>
        <v/>
      </c>
    </row>
    <row r="209" customFormat="false" ht="15" hidden="false" customHeight="false" outlineLevel="0" collapsed="false">
      <c r="A209" s="24"/>
      <c r="B209" s="25"/>
      <c r="C209" s="25"/>
      <c r="D209" s="25"/>
      <c r="E209" s="6"/>
      <c r="F209" s="26" t="str">
        <f aca="false">IF(A209="","",MONTH(A209))</f>
        <v/>
      </c>
      <c r="G209" s="26" t="str">
        <f aca="false">IF(A209="","",YEAR(A209))</f>
        <v/>
      </c>
      <c r="H209" s="11" t="str">
        <f aca="false">IF(OR(C209="",B209&lt;&gt;"Pengeluaran"),"",IFERROR(INDEX(Dashboard!$B$18:$B$39,MATCH(C209,Dashboard!$A$18:$A$39,0)),""))</f>
        <v/>
      </c>
    </row>
    <row r="210" customFormat="false" ht="15" hidden="false" customHeight="false" outlineLevel="0" collapsed="false">
      <c r="A210" s="24"/>
      <c r="B210" s="25"/>
      <c r="C210" s="25"/>
      <c r="D210" s="25"/>
      <c r="E210" s="6"/>
      <c r="F210" s="26" t="str">
        <f aca="false">IF(A210="","",MONTH(A210))</f>
        <v/>
      </c>
      <c r="G210" s="26" t="str">
        <f aca="false">IF(A210="","",YEAR(A210))</f>
        <v/>
      </c>
      <c r="H210" s="11" t="str">
        <f aca="false">IF(OR(C210="",B210&lt;&gt;"Pengeluaran"),"",IFERROR(INDEX(Dashboard!$B$18:$B$39,MATCH(C210,Dashboard!$A$18:$A$39,0)),""))</f>
        <v/>
      </c>
    </row>
    <row r="211" customFormat="false" ht="15" hidden="false" customHeight="false" outlineLevel="0" collapsed="false">
      <c r="A211" s="24"/>
      <c r="B211" s="25"/>
      <c r="C211" s="25"/>
      <c r="D211" s="25"/>
      <c r="E211" s="6"/>
      <c r="F211" s="26" t="str">
        <f aca="false">IF(A211="","",MONTH(A211))</f>
        <v/>
      </c>
      <c r="G211" s="26" t="str">
        <f aca="false">IF(A211="","",YEAR(A211))</f>
        <v/>
      </c>
      <c r="H211" s="11" t="str">
        <f aca="false">IF(OR(C211="",B211&lt;&gt;"Pengeluaran"),"",IFERROR(INDEX(Dashboard!$B$18:$B$39,MATCH(C211,Dashboard!$A$18:$A$39,0)),""))</f>
        <v/>
      </c>
    </row>
    <row r="212" customFormat="false" ht="15" hidden="false" customHeight="false" outlineLevel="0" collapsed="false">
      <c r="A212" s="24"/>
      <c r="B212" s="25"/>
      <c r="C212" s="25"/>
      <c r="D212" s="25"/>
      <c r="E212" s="6"/>
      <c r="F212" s="26" t="str">
        <f aca="false">IF(A212="","",MONTH(A212))</f>
        <v/>
      </c>
      <c r="G212" s="26" t="str">
        <f aca="false">IF(A212="","",YEAR(A212))</f>
        <v/>
      </c>
      <c r="H212" s="11" t="str">
        <f aca="false">IF(OR(C212="",B212&lt;&gt;"Pengeluaran"),"",IFERROR(INDEX(Dashboard!$B$18:$B$39,MATCH(C212,Dashboard!$A$18:$A$39,0)),""))</f>
        <v/>
      </c>
    </row>
    <row r="213" customFormat="false" ht="15" hidden="false" customHeight="false" outlineLevel="0" collapsed="false">
      <c r="A213" s="24"/>
      <c r="B213" s="25"/>
      <c r="C213" s="25"/>
      <c r="D213" s="25"/>
      <c r="E213" s="6"/>
      <c r="F213" s="26" t="str">
        <f aca="false">IF(A213="","",MONTH(A213))</f>
        <v/>
      </c>
      <c r="G213" s="26" t="str">
        <f aca="false">IF(A213="","",YEAR(A213))</f>
        <v/>
      </c>
      <c r="H213" s="11" t="str">
        <f aca="false">IF(OR(C213="",B213&lt;&gt;"Pengeluaran"),"",IFERROR(INDEX(Dashboard!$B$18:$B$39,MATCH(C213,Dashboard!$A$18:$A$39,0)),""))</f>
        <v/>
      </c>
    </row>
    <row r="214" customFormat="false" ht="15" hidden="false" customHeight="false" outlineLevel="0" collapsed="false">
      <c r="A214" s="24"/>
      <c r="B214" s="25"/>
      <c r="C214" s="25"/>
      <c r="D214" s="25"/>
      <c r="E214" s="6"/>
      <c r="F214" s="26" t="str">
        <f aca="false">IF(A214="","",MONTH(A214))</f>
        <v/>
      </c>
      <c r="G214" s="26" t="str">
        <f aca="false">IF(A214="","",YEAR(A214))</f>
        <v/>
      </c>
      <c r="H214" s="11" t="str">
        <f aca="false">IF(OR(C214="",B214&lt;&gt;"Pengeluaran"),"",IFERROR(INDEX(Dashboard!$B$18:$B$39,MATCH(C214,Dashboard!$A$18:$A$39,0)),""))</f>
        <v/>
      </c>
    </row>
    <row r="215" customFormat="false" ht="15" hidden="false" customHeight="false" outlineLevel="0" collapsed="false">
      <c r="A215" s="24"/>
      <c r="B215" s="25"/>
      <c r="C215" s="25"/>
      <c r="D215" s="25"/>
      <c r="E215" s="6"/>
      <c r="F215" s="26" t="str">
        <f aca="false">IF(A215="","",MONTH(A215))</f>
        <v/>
      </c>
      <c r="G215" s="26" t="str">
        <f aca="false">IF(A215="","",YEAR(A215))</f>
        <v/>
      </c>
      <c r="H215" s="11" t="str">
        <f aca="false">IF(OR(C215="",B215&lt;&gt;"Pengeluaran"),"",IFERROR(INDEX(Dashboard!$B$18:$B$39,MATCH(C215,Dashboard!$A$18:$A$39,0)),""))</f>
        <v/>
      </c>
    </row>
    <row r="216" customFormat="false" ht="15" hidden="false" customHeight="false" outlineLevel="0" collapsed="false">
      <c r="A216" s="24"/>
      <c r="B216" s="25"/>
      <c r="C216" s="25"/>
      <c r="D216" s="25"/>
      <c r="E216" s="6"/>
      <c r="F216" s="26" t="str">
        <f aca="false">IF(A216="","",MONTH(A216))</f>
        <v/>
      </c>
      <c r="G216" s="26" t="str">
        <f aca="false">IF(A216="","",YEAR(A216))</f>
        <v/>
      </c>
      <c r="H216" s="11" t="str">
        <f aca="false">IF(OR(C216="",B216&lt;&gt;"Pengeluaran"),"",IFERROR(INDEX(Dashboard!$B$18:$B$39,MATCH(C216,Dashboard!$A$18:$A$39,0)),""))</f>
        <v/>
      </c>
    </row>
    <row r="217" customFormat="false" ht="15" hidden="false" customHeight="false" outlineLevel="0" collapsed="false">
      <c r="A217" s="24"/>
      <c r="B217" s="25"/>
      <c r="C217" s="25"/>
      <c r="D217" s="25"/>
      <c r="E217" s="6"/>
      <c r="F217" s="26" t="str">
        <f aca="false">IF(A217="","",MONTH(A217))</f>
        <v/>
      </c>
      <c r="G217" s="26" t="str">
        <f aca="false">IF(A217="","",YEAR(A217))</f>
        <v/>
      </c>
      <c r="H217" s="11" t="str">
        <f aca="false">IF(OR(C217="",B217&lt;&gt;"Pengeluaran"),"",IFERROR(INDEX(Dashboard!$B$18:$B$39,MATCH(C217,Dashboard!$A$18:$A$39,0)),""))</f>
        <v/>
      </c>
    </row>
    <row r="218" customFormat="false" ht="15" hidden="false" customHeight="false" outlineLevel="0" collapsed="false">
      <c r="A218" s="24"/>
      <c r="B218" s="25"/>
      <c r="C218" s="25"/>
      <c r="D218" s="25"/>
      <c r="E218" s="6"/>
      <c r="F218" s="26" t="str">
        <f aca="false">IF(A218="","",MONTH(A218))</f>
        <v/>
      </c>
      <c r="G218" s="26" t="str">
        <f aca="false">IF(A218="","",YEAR(A218))</f>
        <v/>
      </c>
      <c r="H218" s="11" t="str">
        <f aca="false">IF(OR(C218="",B218&lt;&gt;"Pengeluaran"),"",IFERROR(INDEX(Dashboard!$B$18:$B$39,MATCH(C218,Dashboard!$A$18:$A$39,0)),""))</f>
        <v/>
      </c>
    </row>
    <row r="219" customFormat="false" ht="15" hidden="false" customHeight="false" outlineLevel="0" collapsed="false">
      <c r="A219" s="24"/>
      <c r="B219" s="25"/>
      <c r="C219" s="25"/>
      <c r="D219" s="25"/>
      <c r="E219" s="6"/>
      <c r="F219" s="26" t="str">
        <f aca="false">IF(A219="","",MONTH(A219))</f>
        <v/>
      </c>
      <c r="G219" s="26" t="str">
        <f aca="false">IF(A219="","",YEAR(A219))</f>
        <v/>
      </c>
      <c r="H219" s="11" t="str">
        <f aca="false">IF(OR(C219="",B219&lt;&gt;"Pengeluaran"),"",IFERROR(INDEX(Dashboard!$B$18:$B$39,MATCH(C219,Dashboard!$A$18:$A$39,0)),""))</f>
        <v/>
      </c>
    </row>
    <row r="220" customFormat="false" ht="15" hidden="false" customHeight="false" outlineLevel="0" collapsed="false">
      <c r="A220" s="24"/>
      <c r="B220" s="25"/>
      <c r="C220" s="25"/>
      <c r="D220" s="25"/>
      <c r="E220" s="6"/>
      <c r="F220" s="26" t="str">
        <f aca="false">IF(A220="","",MONTH(A220))</f>
        <v/>
      </c>
      <c r="G220" s="26" t="str">
        <f aca="false">IF(A220="","",YEAR(A220))</f>
        <v/>
      </c>
      <c r="H220" s="11" t="str">
        <f aca="false">IF(OR(C220="",B220&lt;&gt;"Pengeluaran"),"",IFERROR(INDEX(Dashboard!$B$18:$B$39,MATCH(C220,Dashboard!$A$18:$A$39,0)),""))</f>
        <v/>
      </c>
    </row>
    <row r="221" customFormat="false" ht="15" hidden="false" customHeight="false" outlineLevel="0" collapsed="false">
      <c r="A221" s="24"/>
      <c r="B221" s="25"/>
      <c r="C221" s="25"/>
      <c r="D221" s="25"/>
      <c r="E221" s="6"/>
      <c r="F221" s="26" t="str">
        <f aca="false">IF(A221="","",MONTH(A221))</f>
        <v/>
      </c>
      <c r="G221" s="26" t="str">
        <f aca="false">IF(A221="","",YEAR(A221))</f>
        <v/>
      </c>
      <c r="H221" s="11" t="str">
        <f aca="false">IF(OR(C221="",B221&lt;&gt;"Pengeluaran"),"",IFERROR(INDEX(Dashboard!$B$18:$B$39,MATCH(C221,Dashboard!$A$18:$A$39,0)),""))</f>
        <v/>
      </c>
    </row>
    <row r="222" customFormat="false" ht="15" hidden="false" customHeight="false" outlineLevel="0" collapsed="false">
      <c r="A222" s="24"/>
      <c r="B222" s="25"/>
      <c r="C222" s="25"/>
      <c r="D222" s="25"/>
      <c r="E222" s="6"/>
      <c r="F222" s="26" t="str">
        <f aca="false">IF(A222="","",MONTH(A222))</f>
        <v/>
      </c>
      <c r="G222" s="26" t="str">
        <f aca="false">IF(A222="","",YEAR(A222))</f>
        <v/>
      </c>
      <c r="H222" s="11" t="str">
        <f aca="false">IF(OR(C222="",B222&lt;&gt;"Pengeluaran"),"",IFERROR(INDEX(Dashboard!$B$18:$B$39,MATCH(C222,Dashboard!$A$18:$A$39,0)),""))</f>
        <v/>
      </c>
    </row>
    <row r="223" customFormat="false" ht="15" hidden="false" customHeight="false" outlineLevel="0" collapsed="false">
      <c r="A223" s="24"/>
      <c r="B223" s="25"/>
      <c r="C223" s="25"/>
      <c r="D223" s="25"/>
      <c r="E223" s="6"/>
      <c r="F223" s="26" t="str">
        <f aca="false">IF(A223="","",MONTH(A223))</f>
        <v/>
      </c>
      <c r="G223" s="26" t="str">
        <f aca="false">IF(A223="","",YEAR(A223))</f>
        <v/>
      </c>
      <c r="H223" s="11" t="str">
        <f aca="false">IF(OR(C223="",B223&lt;&gt;"Pengeluaran"),"",IFERROR(INDEX(Dashboard!$B$18:$B$39,MATCH(C223,Dashboard!$A$18:$A$39,0)),""))</f>
        <v/>
      </c>
    </row>
    <row r="224" customFormat="false" ht="15" hidden="false" customHeight="false" outlineLevel="0" collapsed="false">
      <c r="A224" s="24"/>
      <c r="B224" s="25"/>
      <c r="C224" s="25"/>
      <c r="D224" s="25"/>
      <c r="E224" s="6"/>
      <c r="F224" s="26" t="str">
        <f aca="false">IF(A224="","",MONTH(A224))</f>
        <v/>
      </c>
      <c r="G224" s="26" t="str">
        <f aca="false">IF(A224="","",YEAR(A224))</f>
        <v/>
      </c>
      <c r="H224" s="11" t="str">
        <f aca="false">IF(OR(C224="",B224&lt;&gt;"Pengeluaran"),"",IFERROR(INDEX(Dashboard!$B$18:$B$39,MATCH(C224,Dashboard!$A$18:$A$39,0)),""))</f>
        <v/>
      </c>
    </row>
    <row r="225" customFormat="false" ht="15" hidden="false" customHeight="false" outlineLevel="0" collapsed="false">
      <c r="A225" s="24"/>
      <c r="B225" s="25"/>
      <c r="C225" s="25"/>
      <c r="D225" s="25"/>
      <c r="E225" s="6"/>
      <c r="F225" s="26" t="str">
        <f aca="false">IF(A225="","",MONTH(A225))</f>
        <v/>
      </c>
      <c r="G225" s="26" t="str">
        <f aca="false">IF(A225="","",YEAR(A225))</f>
        <v/>
      </c>
      <c r="H225" s="11" t="str">
        <f aca="false">IF(OR(C225="",B225&lt;&gt;"Pengeluaran"),"",IFERROR(INDEX(Dashboard!$B$18:$B$39,MATCH(C225,Dashboard!$A$18:$A$39,0)),""))</f>
        <v/>
      </c>
    </row>
    <row r="226" customFormat="false" ht="15" hidden="false" customHeight="false" outlineLevel="0" collapsed="false">
      <c r="A226" s="24"/>
      <c r="B226" s="25"/>
      <c r="C226" s="25"/>
      <c r="D226" s="25"/>
      <c r="E226" s="6"/>
      <c r="F226" s="26" t="str">
        <f aca="false">IF(A226="","",MONTH(A226))</f>
        <v/>
      </c>
      <c r="G226" s="26" t="str">
        <f aca="false">IF(A226="","",YEAR(A226))</f>
        <v/>
      </c>
      <c r="H226" s="11" t="str">
        <f aca="false">IF(OR(C226="",B226&lt;&gt;"Pengeluaran"),"",IFERROR(INDEX(Dashboard!$B$18:$B$39,MATCH(C226,Dashboard!$A$18:$A$39,0)),""))</f>
        <v/>
      </c>
    </row>
    <row r="227" customFormat="false" ht="15" hidden="false" customHeight="false" outlineLevel="0" collapsed="false">
      <c r="A227" s="24"/>
      <c r="B227" s="25"/>
      <c r="C227" s="25"/>
      <c r="D227" s="25"/>
      <c r="E227" s="6"/>
      <c r="F227" s="26" t="str">
        <f aca="false">IF(A227="","",MONTH(A227))</f>
        <v/>
      </c>
      <c r="G227" s="26" t="str">
        <f aca="false">IF(A227="","",YEAR(A227))</f>
        <v/>
      </c>
      <c r="H227" s="11" t="str">
        <f aca="false">IF(OR(C227="",B227&lt;&gt;"Pengeluaran"),"",IFERROR(INDEX(Dashboard!$B$18:$B$39,MATCH(C227,Dashboard!$A$18:$A$39,0)),""))</f>
        <v/>
      </c>
    </row>
    <row r="228" customFormat="false" ht="15" hidden="false" customHeight="false" outlineLevel="0" collapsed="false">
      <c r="A228" s="24"/>
      <c r="B228" s="25"/>
      <c r="C228" s="25"/>
      <c r="D228" s="25"/>
      <c r="E228" s="6"/>
      <c r="F228" s="26" t="str">
        <f aca="false">IF(A228="","",MONTH(A228))</f>
        <v/>
      </c>
      <c r="G228" s="26" t="str">
        <f aca="false">IF(A228="","",YEAR(A228))</f>
        <v/>
      </c>
      <c r="H228" s="11" t="str">
        <f aca="false">IF(OR(C228="",B228&lt;&gt;"Pengeluaran"),"",IFERROR(INDEX(Dashboard!$B$18:$B$39,MATCH(C228,Dashboard!$A$18:$A$39,0)),""))</f>
        <v/>
      </c>
    </row>
    <row r="229" customFormat="false" ht="15" hidden="false" customHeight="false" outlineLevel="0" collapsed="false">
      <c r="A229" s="24"/>
      <c r="B229" s="25"/>
      <c r="C229" s="25"/>
      <c r="D229" s="25"/>
      <c r="E229" s="6"/>
      <c r="F229" s="26" t="str">
        <f aca="false">IF(A229="","",MONTH(A229))</f>
        <v/>
      </c>
      <c r="G229" s="26" t="str">
        <f aca="false">IF(A229="","",YEAR(A229))</f>
        <v/>
      </c>
      <c r="H229" s="11" t="str">
        <f aca="false">IF(OR(C229="",B229&lt;&gt;"Pengeluaran"),"",IFERROR(INDEX(Dashboard!$B$18:$B$39,MATCH(C229,Dashboard!$A$18:$A$39,0)),""))</f>
        <v/>
      </c>
    </row>
    <row r="230" customFormat="false" ht="15" hidden="false" customHeight="false" outlineLevel="0" collapsed="false">
      <c r="A230" s="24"/>
      <c r="B230" s="25"/>
      <c r="C230" s="25"/>
      <c r="D230" s="25"/>
      <c r="E230" s="6"/>
      <c r="F230" s="26" t="str">
        <f aca="false">IF(A230="","",MONTH(A230))</f>
        <v/>
      </c>
      <c r="G230" s="26" t="str">
        <f aca="false">IF(A230="","",YEAR(A230))</f>
        <v/>
      </c>
      <c r="H230" s="11" t="str">
        <f aca="false">IF(OR(C230="",B230&lt;&gt;"Pengeluaran"),"",IFERROR(INDEX(Dashboard!$B$18:$B$39,MATCH(C230,Dashboard!$A$18:$A$39,0)),""))</f>
        <v/>
      </c>
    </row>
    <row r="231" customFormat="false" ht="15" hidden="false" customHeight="false" outlineLevel="0" collapsed="false">
      <c r="A231" s="24"/>
      <c r="B231" s="25"/>
      <c r="C231" s="25"/>
      <c r="D231" s="25"/>
      <c r="E231" s="6"/>
      <c r="F231" s="26" t="str">
        <f aca="false">IF(A231="","",MONTH(A231))</f>
        <v/>
      </c>
      <c r="G231" s="26" t="str">
        <f aca="false">IF(A231="","",YEAR(A231))</f>
        <v/>
      </c>
      <c r="H231" s="11" t="str">
        <f aca="false">IF(OR(C231="",B231&lt;&gt;"Pengeluaran"),"",IFERROR(INDEX(Dashboard!$B$18:$B$39,MATCH(C231,Dashboard!$A$18:$A$39,0)),""))</f>
        <v/>
      </c>
    </row>
    <row r="232" customFormat="false" ht="15" hidden="false" customHeight="false" outlineLevel="0" collapsed="false">
      <c r="A232" s="24"/>
      <c r="B232" s="25"/>
      <c r="C232" s="25"/>
      <c r="D232" s="25"/>
      <c r="E232" s="6"/>
      <c r="F232" s="26" t="str">
        <f aca="false">IF(A232="","",MONTH(A232))</f>
        <v/>
      </c>
      <c r="G232" s="26" t="str">
        <f aca="false">IF(A232="","",YEAR(A232))</f>
        <v/>
      </c>
      <c r="H232" s="11" t="str">
        <f aca="false">IF(OR(C232="",B232&lt;&gt;"Pengeluaran"),"",IFERROR(INDEX(Dashboard!$B$18:$B$39,MATCH(C232,Dashboard!$A$18:$A$39,0)),""))</f>
        <v/>
      </c>
    </row>
    <row r="233" customFormat="false" ht="15" hidden="false" customHeight="false" outlineLevel="0" collapsed="false">
      <c r="A233" s="24"/>
      <c r="B233" s="25"/>
      <c r="C233" s="25"/>
      <c r="D233" s="25"/>
      <c r="E233" s="6"/>
      <c r="F233" s="26" t="str">
        <f aca="false">IF(A233="","",MONTH(A233))</f>
        <v/>
      </c>
      <c r="G233" s="26" t="str">
        <f aca="false">IF(A233="","",YEAR(A233))</f>
        <v/>
      </c>
      <c r="H233" s="11" t="str">
        <f aca="false">IF(OR(C233="",B233&lt;&gt;"Pengeluaran"),"",IFERROR(INDEX(Dashboard!$B$18:$B$39,MATCH(C233,Dashboard!$A$18:$A$39,0)),""))</f>
        <v/>
      </c>
    </row>
    <row r="234" customFormat="false" ht="15" hidden="false" customHeight="false" outlineLevel="0" collapsed="false">
      <c r="A234" s="24"/>
      <c r="B234" s="25"/>
      <c r="C234" s="25"/>
      <c r="D234" s="25"/>
      <c r="E234" s="6"/>
      <c r="F234" s="26" t="str">
        <f aca="false">IF(A234="","",MONTH(A234))</f>
        <v/>
      </c>
      <c r="G234" s="26" t="str">
        <f aca="false">IF(A234="","",YEAR(A234))</f>
        <v/>
      </c>
      <c r="H234" s="11" t="str">
        <f aca="false">IF(OR(C234="",B234&lt;&gt;"Pengeluaran"),"",IFERROR(INDEX(Dashboard!$B$18:$B$39,MATCH(C234,Dashboard!$A$18:$A$39,0)),""))</f>
        <v/>
      </c>
    </row>
    <row r="235" customFormat="false" ht="15" hidden="false" customHeight="false" outlineLevel="0" collapsed="false">
      <c r="A235" s="24"/>
      <c r="B235" s="25"/>
      <c r="C235" s="25"/>
      <c r="D235" s="25"/>
      <c r="E235" s="6"/>
      <c r="F235" s="26" t="str">
        <f aca="false">IF(A235="","",MONTH(A235))</f>
        <v/>
      </c>
      <c r="G235" s="26" t="str">
        <f aca="false">IF(A235="","",YEAR(A235))</f>
        <v/>
      </c>
      <c r="H235" s="11" t="str">
        <f aca="false">IF(OR(C235="",B235&lt;&gt;"Pengeluaran"),"",IFERROR(INDEX(Dashboard!$B$18:$B$39,MATCH(C235,Dashboard!$A$18:$A$39,0)),""))</f>
        <v/>
      </c>
    </row>
    <row r="236" customFormat="false" ht="15" hidden="false" customHeight="false" outlineLevel="0" collapsed="false">
      <c r="A236" s="24"/>
      <c r="B236" s="25"/>
      <c r="C236" s="25"/>
      <c r="D236" s="25"/>
      <c r="E236" s="6"/>
      <c r="F236" s="26" t="str">
        <f aca="false">IF(A236="","",MONTH(A236))</f>
        <v/>
      </c>
      <c r="G236" s="26" t="str">
        <f aca="false">IF(A236="","",YEAR(A236))</f>
        <v/>
      </c>
      <c r="H236" s="11" t="str">
        <f aca="false">IF(OR(C236="",B236&lt;&gt;"Pengeluaran"),"",IFERROR(INDEX(Dashboard!$B$18:$B$39,MATCH(C236,Dashboard!$A$18:$A$39,0)),""))</f>
        <v/>
      </c>
    </row>
    <row r="237" customFormat="false" ht="15" hidden="false" customHeight="false" outlineLevel="0" collapsed="false">
      <c r="A237" s="24"/>
      <c r="B237" s="25"/>
      <c r="C237" s="25"/>
      <c r="D237" s="25"/>
      <c r="E237" s="6"/>
      <c r="F237" s="26" t="str">
        <f aca="false">IF(A237="","",MONTH(A237))</f>
        <v/>
      </c>
      <c r="G237" s="26" t="str">
        <f aca="false">IF(A237="","",YEAR(A237))</f>
        <v/>
      </c>
      <c r="H237" s="11" t="str">
        <f aca="false">IF(OR(C237="",B237&lt;&gt;"Pengeluaran"),"",IFERROR(INDEX(Dashboard!$B$18:$B$39,MATCH(C237,Dashboard!$A$18:$A$39,0)),""))</f>
        <v/>
      </c>
    </row>
    <row r="238" customFormat="false" ht="15" hidden="false" customHeight="false" outlineLevel="0" collapsed="false">
      <c r="A238" s="24"/>
      <c r="B238" s="25"/>
      <c r="C238" s="25"/>
      <c r="D238" s="25"/>
      <c r="E238" s="6"/>
      <c r="F238" s="26" t="str">
        <f aca="false">IF(A238="","",MONTH(A238))</f>
        <v/>
      </c>
      <c r="G238" s="26" t="str">
        <f aca="false">IF(A238="","",YEAR(A238))</f>
        <v/>
      </c>
      <c r="H238" s="11" t="str">
        <f aca="false">IF(OR(C238="",B238&lt;&gt;"Pengeluaran"),"",IFERROR(INDEX(Dashboard!$B$18:$B$39,MATCH(C238,Dashboard!$A$18:$A$39,0)),""))</f>
        <v/>
      </c>
    </row>
    <row r="239" customFormat="false" ht="15" hidden="false" customHeight="false" outlineLevel="0" collapsed="false">
      <c r="A239" s="24"/>
      <c r="B239" s="25"/>
      <c r="C239" s="25"/>
      <c r="D239" s="25"/>
      <c r="E239" s="6"/>
      <c r="F239" s="26" t="str">
        <f aca="false">IF(A239="","",MONTH(A239))</f>
        <v/>
      </c>
      <c r="G239" s="26" t="str">
        <f aca="false">IF(A239="","",YEAR(A239))</f>
        <v/>
      </c>
      <c r="H239" s="11" t="str">
        <f aca="false">IF(OR(C239="",B239&lt;&gt;"Pengeluaran"),"",IFERROR(INDEX(Dashboard!$B$18:$B$39,MATCH(C239,Dashboard!$A$18:$A$39,0)),""))</f>
        <v/>
      </c>
    </row>
    <row r="240" customFormat="false" ht="15" hidden="false" customHeight="false" outlineLevel="0" collapsed="false">
      <c r="A240" s="24"/>
      <c r="B240" s="25"/>
      <c r="C240" s="25"/>
      <c r="D240" s="25"/>
      <c r="E240" s="6"/>
      <c r="F240" s="26" t="str">
        <f aca="false">IF(A240="","",MONTH(A240))</f>
        <v/>
      </c>
      <c r="G240" s="26" t="str">
        <f aca="false">IF(A240="","",YEAR(A240))</f>
        <v/>
      </c>
      <c r="H240" s="11" t="str">
        <f aca="false">IF(OR(C240="",B240&lt;&gt;"Pengeluaran"),"",IFERROR(INDEX(Dashboard!$B$18:$B$39,MATCH(C240,Dashboard!$A$18:$A$39,0)),""))</f>
        <v/>
      </c>
    </row>
    <row r="241" customFormat="false" ht="15" hidden="false" customHeight="false" outlineLevel="0" collapsed="false">
      <c r="A241" s="24"/>
      <c r="B241" s="25"/>
      <c r="C241" s="25"/>
      <c r="D241" s="25"/>
      <c r="E241" s="6"/>
      <c r="F241" s="26" t="str">
        <f aca="false">IF(A241="","",MONTH(A241))</f>
        <v/>
      </c>
      <c r="G241" s="26" t="str">
        <f aca="false">IF(A241="","",YEAR(A241))</f>
        <v/>
      </c>
      <c r="H241" s="11" t="str">
        <f aca="false">IF(OR(C241="",B241&lt;&gt;"Pengeluaran"),"",IFERROR(INDEX(Dashboard!$B$18:$B$39,MATCH(C241,Dashboard!$A$18:$A$39,0)),""))</f>
        <v/>
      </c>
    </row>
    <row r="242" customFormat="false" ht="15" hidden="false" customHeight="false" outlineLevel="0" collapsed="false">
      <c r="A242" s="24"/>
      <c r="B242" s="25"/>
      <c r="C242" s="25"/>
      <c r="D242" s="25"/>
      <c r="E242" s="6"/>
      <c r="F242" s="26" t="str">
        <f aca="false">IF(A242="","",MONTH(A242))</f>
        <v/>
      </c>
      <c r="G242" s="26" t="str">
        <f aca="false">IF(A242="","",YEAR(A242))</f>
        <v/>
      </c>
      <c r="H242" s="11" t="str">
        <f aca="false">IF(OR(C242="",B242&lt;&gt;"Pengeluaran"),"",IFERROR(INDEX(Dashboard!$B$18:$B$39,MATCH(C242,Dashboard!$A$18:$A$39,0)),""))</f>
        <v/>
      </c>
    </row>
    <row r="243" customFormat="false" ht="15" hidden="false" customHeight="false" outlineLevel="0" collapsed="false">
      <c r="A243" s="24"/>
      <c r="B243" s="25"/>
      <c r="C243" s="25"/>
      <c r="D243" s="25"/>
      <c r="E243" s="6"/>
      <c r="F243" s="26" t="str">
        <f aca="false">IF(A243="","",MONTH(A243))</f>
        <v/>
      </c>
      <c r="G243" s="26" t="str">
        <f aca="false">IF(A243="","",YEAR(A243))</f>
        <v/>
      </c>
      <c r="H243" s="11" t="str">
        <f aca="false">IF(OR(C243="",B243&lt;&gt;"Pengeluaran"),"",IFERROR(INDEX(Dashboard!$B$18:$B$39,MATCH(C243,Dashboard!$A$18:$A$39,0)),""))</f>
        <v/>
      </c>
    </row>
    <row r="244" customFormat="false" ht="15" hidden="false" customHeight="false" outlineLevel="0" collapsed="false">
      <c r="A244" s="24"/>
      <c r="B244" s="25"/>
      <c r="C244" s="25"/>
      <c r="D244" s="25"/>
      <c r="E244" s="6"/>
      <c r="F244" s="26" t="str">
        <f aca="false">IF(A244="","",MONTH(A244))</f>
        <v/>
      </c>
      <c r="G244" s="26" t="str">
        <f aca="false">IF(A244="","",YEAR(A244))</f>
        <v/>
      </c>
      <c r="H244" s="11" t="str">
        <f aca="false">IF(OR(C244="",B244&lt;&gt;"Pengeluaran"),"",IFERROR(INDEX(Dashboard!$B$18:$B$39,MATCH(C244,Dashboard!$A$18:$A$39,0)),""))</f>
        <v/>
      </c>
    </row>
    <row r="245" customFormat="false" ht="15" hidden="false" customHeight="false" outlineLevel="0" collapsed="false">
      <c r="A245" s="24"/>
      <c r="B245" s="25"/>
      <c r="C245" s="25"/>
      <c r="D245" s="25"/>
      <c r="E245" s="6"/>
      <c r="F245" s="26" t="str">
        <f aca="false">IF(A245="","",MONTH(A245))</f>
        <v/>
      </c>
      <c r="G245" s="26" t="str">
        <f aca="false">IF(A245="","",YEAR(A245))</f>
        <v/>
      </c>
      <c r="H245" s="11" t="str">
        <f aca="false">IF(OR(C245="",B245&lt;&gt;"Pengeluaran"),"",IFERROR(INDEX(Dashboard!$B$18:$B$39,MATCH(C245,Dashboard!$A$18:$A$39,0)),""))</f>
        <v/>
      </c>
    </row>
    <row r="246" customFormat="false" ht="15" hidden="false" customHeight="false" outlineLevel="0" collapsed="false">
      <c r="A246" s="24"/>
      <c r="B246" s="25"/>
      <c r="C246" s="25"/>
      <c r="D246" s="25"/>
      <c r="E246" s="6"/>
      <c r="F246" s="26" t="str">
        <f aca="false">IF(A246="","",MONTH(A246))</f>
        <v/>
      </c>
      <c r="G246" s="26" t="str">
        <f aca="false">IF(A246="","",YEAR(A246))</f>
        <v/>
      </c>
      <c r="H246" s="11" t="str">
        <f aca="false">IF(OR(C246="",B246&lt;&gt;"Pengeluaran"),"",IFERROR(INDEX(Dashboard!$B$18:$B$39,MATCH(C246,Dashboard!$A$18:$A$39,0)),""))</f>
        <v/>
      </c>
    </row>
    <row r="247" customFormat="false" ht="15" hidden="false" customHeight="false" outlineLevel="0" collapsed="false">
      <c r="A247" s="24"/>
      <c r="B247" s="25"/>
      <c r="C247" s="25"/>
      <c r="D247" s="25"/>
      <c r="E247" s="6"/>
      <c r="F247" s="26" t="str">
        <f aca="false">IF(A247="","",MONTH(A247))</f>
        <v/>
      </c>
      <c r="G247" s="26" t="str">
        <f aca="false">IF(A247="","",YEAR(A247))</f>
        <v/>
      </c>
      <c r="H247" s="11" t="str">
        <f aca="false">IF(OR(C247="",B247&lt;&gt;"Pengeluaran"),"",IFERROR(INDEX(Dashboard!$B$18:$B$39,MATCH(C247,Dashboard!$A$18:$A$39,0)),""))</f>
        <v/>
      </c>
    </row>
    <row r="248" customFormat="false" ht="15" hidden="false" customHeight="false" outlineLevel="0" collapsed="false">
      <c r="A248" s="24"/>
      <c r="B248" s="25"/>
      <c r="C248" s="25"/>
      <c r="D248" s="25"/>
      <c r="E248" s="6"/>
      <c r="F248" s="26" t="str">
        <f aca="false">IF(A248="","",MONTH(A248))</f>
        <v/>
      </c>
      <c r="G248" s="26" t="str">
        <f aca="false">IF(A248="","",YEAR(A248))</f>
        <v/>
      </c>
      <c r="H248" s="11" t="str">
        <f aca="false">IF(OR(C248="",B248&lt;&gt;"Pengeluaran"),"",IFERROR(INDEX(Dashboard!$B$18:$B$39,MATCH(C248,Dashboard!$A$18:$A$39,0)),""))</f>
        <v/>
      </c>
    </row>
    <row r="249" customFormat="false" ht="15" hidden="false" customHeight="false" outlineLevel="0" collapsed="false">
      <c r="A249" s="24"/>
      <c r="B249" s="25"/>
      <c r="C249" s="25"/>
      <c r="D249" s="25"/>
      <c r="E249" s="6"/>
      <c r="F249" s="26" t="str">
        <f aca="false">IF(A249="","",MONTH(A249))</f>
        <v/>
      </c>
      <c r="G249" s="26" t="str">
        <f aca="false">IF(A249="","",YEAR(A249))</f>
        <v/>
      </c>
      <c r="H249" s="11" t="str">
        <f aca="false">IF(OR(C249="",B249&lt;&gt;"Pengeluaran"),"",IFERROR(INDEX(Dashboard!$B$18:$B$39,MATCH(C249,Dashboard!$A$18:$A$39,0)),""))</f>
        <v/>
      </c>
    </row>
    <row r="250" customFormat="false" ht="15" hidden="false" customHeight="false" outlineLevel="0" collapsed="false">
      <c r="A250" s="24"/>
      <c r="B250" s="25"/>
      <c r="C250" s="25"/>
      <c r="D250" s="25"/>
      <c r="E250" s="6"/>
      <c r="F250" s="26" t="str">
        <f aca="false">IF(A250="","",MONTH(A250))</f>
        <v/>
      </c>
      <c r="G250" s="26" t="str">
        <f aca="false">IF(A250="","",YEAR(A250))</f>
        <v/>
      </c>
      <c r="H250" s="11" t="str">
        <f aca="false">IF(OR(C250="",B250&lt;&gt;"Pengeluaran"),"",IFERROR(INDEX(Dashboard!$B$18:$B$39,MATCH(C250,Dashboard!$A$18:$A$39,0)),""))</f>
        <v/>
      </c>
    </row>
    <row r="251" customFormat="false" ht="15" hidden="false" customHeight="false" outlineLevel="0" collapsed="false">
      <c r="A251" s="24"/>
      <c r="B251" s="25"/>
      <c r="C251" s="25"/>
      <c r="D251" s="25"/>
      <c r="E251" s="6"/>
      <c r="F251" s="26" t="str">
        <f aca="false">IF(A251="","",MONTH(A251))</f>
        <v/>
      </c>
      <c r="G251" s="26" t="str">
        <f aca="false">IF(A251="","",YEAR(A251))</f>
        <v/>
      </c>
      <c r="H251" s="11" t="str">
        <f aca="false">IF(OR(C251="",B251&lt;&gt;"Pengeluaran"),"",IFERROR(INDEX(Dashboard!$B$18:$B$39,MATCH(C251,Dashboard!$A$18:$A$39,0)),""))</f>
        <v/>
      </c>
    </row>
    <row r="252" customFormat="false" ht="15" hidden="false" customHeight="false" outlineLevel="0" collapsed="false">
      <c r="A252" s="24"/>
      <c r="B252" s="25"/>
      <c r="C252" s="25"/>
      <c r="D252" s="25"/>
      <c r="E252" s="6"/>
      <c r="F252" s="26" t="str">
        <f aca="false">IF(A252="","",MONTH(A252))</f>
        <v/>
      </c>
      <c r="G252" s="26" t="str">
        <f aca="false">IF(A252="","",YEAR(A252))</f>
        <v/>
      </c>
      <c r="H252" s="11" t="str">
        <f aca="false">IF(OR(C252="",B252&lt;&gt;"Pengeluaran"),"",IFERROR(INDEX(Dashboard!$B$18:$B$39,MATCH(C252,Dashboard!$A$18:$A$39,0)),""))</f>
        <v/>
      </c>
    </row>
    <row r="253" customFormat="false" ht="15" hidden="false" customHeight="false" outlineLevel="0" collapsed="false">
      <c r="A253" s="24"/>
      <c r="B253" s="25"/>
      <c r="C253" s="25"/>
      <c r="D253" s="25"/>
      <c r="E253" s="6"/>
      <c r="F253" s="26" t="str">
        <f aca="false">IF(A253="","",MONTH(A253))</f>
        <v/>
      </c>
      <c r="G253" s="26" t="str">
        <f aca="false">IF(A253="","",YEAR(A253))</f>
        <v/>
      </c>
      <c r="H253" s="11" t="str">
        <f aca="false">IF(OR(C253="",B253&lt;&gt;"Pengeluaran"),"",IFERROR(INDEX(Dashboard!$B$18:$B$39,MATCH(C253,Dashboard!$A$18:$A$39,0)),""))</f>
        <v/>
      </c>
    </row>
    <row r="254" customFormat="false" ht="15" hidden="false" customHeight="false" outlineLevel="0" collapsed="false">
      <c r="A254" s="24"/>
      <c r="B254" s="25"/>
      <c r="C254" s="25"/>
      <c r="D254" s="25"/>
      <c r="E254" s="6"/>
      <c r="F254" s="26" t="str">
        <f aca="false">IF(A254="","",MONTH(A254))</f>
        <v/>
      </c>
      <c r="G254" s="26" t="str">
        <f aca="false">IF(A254="","",YEAR(A254))</f>
        <v/>
      </c>
      <c r="H254" s="11" t="str">
        <f aca="false">IF(OR(C254="",B254&lt;&gt;"Pengeluaran"),"",IFERROR(INDEX(Dashboard!$B$18:$B$39,MATCH(C254,Dashboard!$A$18:$A$39,0)),""))</f>
        <v/>
      </c>
    </row>
    <row r="255" customFormat="false" ht="15" hidden="false" customHeight="false" outlineLevel="0" collapsed="false">
      <c r="A255" s="24"/>
      <c r="B255" s="25"/>
      <c r="C255" s="25"/>
      <c r="D255" s="25"/>
      <c r="E255" s="6"/>
      <c r="F255" s="26" t="str">
        <f aca="false">IF(A255="","",MONTH(A255))</f>
        <v/>
      </c>
      <c r="G255" s="26" t="str">
        <f aca="false">IF(A255="","",YEAR(A255))</f>
        <v/>
      </c>
      <c r="H255" s="11" t="str">
        <f aca="false">IF(OR(C255="",B255&lt;&gt;"Pengeluaran"),"",IFERROR(INDEX(Dashboard!$B$18:$B$39,MATCH(C255,Dashboard!$A$18:$A$39,0)),""))</f>
        <v/>
      </c>
    </row>
    <row r="256" customFormat="false" ht="15" hidden="false" customHeight="false" outlineLevel="0" collapsed="false">
      <c r="A256" s="24"/>
      <c r="B256" s="25"/>
      <c r="C256" s="25"/>
      <c r="D256" s="25"/>
      <c r="E256" s="6"/>
      <c r="F256" s="26" t="str">
        <f aca="false">IF(A256="","",MONTH(A256))</f>
        <v/>
      </c>
      <c r="G256" s="26" t="str">
        <f aca="false">IF(A256="","",YEAR(A256))</f>
        <v/>
      </c>
      <c r="H256" s="11" t="str">
        <f aca="false">IF(OR(C256="",B256&lt;&gt;"Pengeluaran"),"",IFERROR(INDEX(Dashboard!$B$18:$B$39,MATCH(C256,Dashboard!$A$18:$A$39,0)),""))</f>
        <v/>
      </c>
    </row>
    <row r="257" customFormat="false" ht="15" hidden="false" customHeight="false" outlineLevel="0" collapsed="false">
      <c r="A257" s="24"/>
      <c r="B257" s="25"/>
      <c r="C257" s="25"/>
      <c r="D257" s="25"/>
      <c r="E257" s="6"/>
      <c r="F257" s="26" t="str">
        <f aca="false">IF(A257="","",MONTH(A257))</f>
        <v/>
      </c>
      <c r="G257" s="26" t="str">
        <f aca="false">IF(A257="","",YEAR(A257))</f>
        <v/>
      </c>
      <c r="H257" s="11" t="str">
        <f aca="false">IF(OR(C257="",B257&lt;&gt;"Pengeluaran"),"",IFERROR(INDEX(Dashboard!$B$18:$B$39,MATCH(C257,Dashboard!$A$18:$A$39,0)),""))</f>
        <v/>
      </c>
    </row>
    <row r="258" customFormat="false" ht="15" hidden="false" customHeight="false" outlineLevel="0" collapsed="false">
      <c r="A258" s="24"/>
      <c r="B258" s="25"/>
      <c r="C258" s="25"/>
      <c r="D258" s="25"/>
      <c r="E258" s="6"/>
      <c r="F258" s="26" t="str">
        <f aca="false">IF(A258="","",MONTH(A258))</f>
        <v/>
      </c>
      <c r="G258" s="26" t="str">
        <f aca="false">IF(A258="","",YEAR(A258))</f>
        <v/>
      </c>
      <c r="H258" s="11" t="str">
        <f aca="false">IF(OR(C258="",B258&lt;&gt;"Pengeluaran"),"",IFERROR(INDEX(Dashboard!$B$18:$B$39,MATCH(C258,Dashboard!$A$18:$A$39,0)),""))</f>
        <v/>
      </c>
    </row>
    <row r="259" customFormat="false" ht="15" hidden="false" customHeight="false" outlineLevel="0" collapsed="false">
      <c r="A259" s="24"/>
      <c r="B259" s="25"/>
      <c r="C259" s="25"/>
      <c r="D259" s="25"/>
      <c r="E259" s="6"/>
      <c r="F259" s="26" t="str">
        <f aca="false">IF(A259="","",MONTH(A259))</f>
        <v/>
      </c>
      <c r="G259" s="26" t="str">
        <f aca="false">IF(A259="","",YEAR(A259))</f>
        <v/>
      </c>
      <c r="H259" s="11" t="str">
        <f aca="false">IF(OR(C259="",B259&lt;&gt;"Pengeluaran"),"",IFERROR(INDEX(Dashboard!$B$18:$B$39,MATCH(C259,Dashboard!$A$18:$A$39,0)),""))</f>
        <v/>
      </c>
    </row>
    <row r="260" customFormat="false" ht="15" hidden="false" customHeight="false" outlineLevel="0" collapsed="false">
      <c r="A260" s="24"/>
      <c r="B260" s="25"/>
      <c r="C260" s="25"/>
      <c r="D260" s="25"/>
      <c r="E260" s="6"/>
      <c r="F260" s="26" t="str">
        <f aca="false">IF(A260="","",MONTH(A260))</f>
        <v/>
      </c>
      <c r="G260" s="26" t="str">
        <f aca="false">IF(A260="","",YEAR(A260))</f>
        <v/>
      </c>
      <c r="H260" s="11" t="str">
        <f aca="false">IF(OR(C260="",B260&lt;&gt;"Pengeluaran"),"",IFERROR(INDEX(Dashboard!$B$18:$B$39,MATCH(C260,Dashboard!$A$18:$A$39,0)),""))</f>
        <v/>
      </c>
    </row>
    <row r="261" customFormat="false" ht="15" hidden="false" customHeight="false" outlineLevel="0" collapsed="false">
      <c r="A261" s="24"/>
      <c r="B261" s="25"/>
      <c r="C261" s="25"/>
      <c r="D261" s="25"/>
      <c r="E261" s="6"/>
      <c r="F261" s="26" t="str">
        <f aca="false">IF(A261="","",MONTH(A261))</f>
        <v/>
      </c>
      <c r="G261" s="26" t="str">
        <f aca="false">IF(A261="","",YEAR(A261))</f>
        <v/>
      </c>
      <c r="H261" s="11" t="str">
        <f aca="false">IF(OR(C261="",B261&lt;&gt;"Pengeluaran"),"",IFERROR(INDEX(Dashboard!$B$18:$B$39,MATCH(C261,Dashboard!$A$18:$A$39,0)),""))</f>
        <v/>
      </c>
    </row>
    <row r="262" customFormat="false" ht="15" hidden="false" customHeight="false" outlineLevel="0" collapsed="false">
      <c r="A262" s="24"/>
      <c r="B262" s="25"/>
      <c r="C262" s="25"/>
      <c r="D262" s="25"/>
      <c r="E262" s="6"/>
      <c r="F262" s="26" t="str">
        <f aca="false">IF(A262="","",MONTH(A262))</f>
        <v/>
      </c>
      <c r="G262" s="26" t="str">
        <f aca="false">IF(A262="","",YEAR(A262))</f>
        <v/>
      </c>
      <c r="H262" s="11" t="str">
        <f aca="false">IF(OR(C262="",B262&lt;&gt;"Pengeluaran"),"",IFERROR(INDEX(Dashboard!$B$18:$B$39,MATCH(C262,Dashboard!$A$18:$A$39,0)),""))</f>
        <v/>
      </c>
    </row>
    <row r="263" customFormat="false" ht="15" hidden="false" customHeight="false" outlineLevel="0" collapsed="false">
      <c r="A263" s="24"/>
      <c r="B263" s="25"/>
      <c r="C263" s="25"/>
      <c r="D263" s="25"/>
      <c r="E263" s="6"/>
      <c r="F263" s="26" t="str">
        <f aca="false">IF(A263="","",MONTH(A263))</f>
        <v/>
      </c>
      <c r="G263" s="26" t="str">
        <f aca="false">IF(A263="","",YEAR(A263))</f>
        <v/>
      </c>
      <c r="H263" s="11" t="str">
        <f aca="false">IF(OR(C263="",B263&lt;&gt;"Pengeluaran"),"",IFERROR(INDEX(Dashboard!$B$18:$B$39,MATCH(C263,Dashboard!$A$18:$A$39,0)),""))</f>
        <v/>
      </c>
    </row>
    <row r="264" customFormat="false" ht="15" hidden="false" customHeight="false" outlineLevel="0" collapsed="false">
      <c r="A264" s="24"/>
      <c r="B264" s="25"/>
      <c r="C264" s="25"/>
      <c r="D264" s="25"/>
      <c r="E264" s="6"/>
      <c r="F264" s="26" t="str">
        <f aca="false">IF(A264="","",MONTH(A264))</f>
        <v/>
      </c>
      <c r="G264" s="26" t="str">
        <f aca="false">IF(A264="","",YEAR(A264))</f>
        <v/>
      </c>
      <c r="H264" s="11" t="str">
        <f aca="false">IF(OR(C264="",B264&lt;&gt;"Pengeluaran"),"",IFERROR(INDEX(Dashboard!$B$18:$B$39,MATCH(C264,Dashboard!$A$18:$A$39,0)),""))</f>
        <v/>
      </c>
    </row>
    <row r="265" customFormat="false" ht="15" hidden="false" customHeight="false" outlineLevel="0" collapsed="false">
      <c r="A265" s="24"/>
      <c r="B265" s="25"/>
      <c r="C265" s="25"/>
      <c r="D265" s="25"/>
      <c r="E265" s="6"/>
      <c r="F265" s="26" t="str">
        <f aca="false">IF(A265="","",MONTH(A265))</f>
        <v/>
      </c>
      <c r="G265" s="26" t="str">
        <f aca="false">IF(A265="","",YEAR(A265))</f>
        <v/>
      </c>
      <c r="H265" s="11" t="str">
        <f aca="false">IF(OR(C265="",B265&lt;&gt;"Pengeluaran"),"",IFERROR(INDEX(Dashboard!$B$18:$B$39,MATCH(C265,Dashboard!$A$18:$A$39,0)),""))</f>
        <v/>
      </c>
    </row>
    <row r="266" customFormat="false" ht="15" hidden="false" customHeight="false" outlineLevel="0" collapsed="false">
      <c r="A266" s="24"/>
      <c r="B266" s="25"/>
      <c r="C266" s="25"/>
      <c r="D266" s="25"/>
      <c r="E266" s="6"/>
      <c r="F266" s="26" t="str">
        <f aca="false">IF(A266="","",MONTH(A266))</f>
        <v/>
      </c>
      <c r="G266" s="26" t="str">
        <f aca="false">IF(A266="","",YEAR(A266))</f>
        <v/>
      </c>
      <c r="H266" s="11" t="str">
        <f aca="false">IF(OR(C266="",B266&lt;&gt;"Pengeluaran"),"",IFERROR(INDEX(Dashboard!$B$18:$B$39,MATCH(C266,Dashboard!$A$18:$A$39,0)),""))</f>
        <v/>
      </c>
    </row>
    <row r="267" customFormat="false" ht="15" hidden="false" customHeight="false" outlineLevel="0" collapsed="false">
      <c r="A267" s="24"/>
      <c r="B267" s="25"/>
      <c r="C267" s="25"/>
      <c r="D267" s="25"/>
      <c r="E267" s="6"/>
      <c r="F267" s="26" t="str">
        <f aca="false">IF(A267="","",MONTH(A267))</f>
        <v/>
      </c>
      <c r="G267" s="26" t="str">
        <f aca="false">IF(A267="","",YEAR(A267))</f>
        <v/>
      </c>
      <c r="H267" s="11" t="str">
        <f aca="false">IF(OR(C267="",B267&lt;&gt;"Pengeluaran"),"",IFERROR(INDEX(Dashboard!$B$18:$B$39,MATCH(C267,Dashboard!$A$18:$A$39,0)),""))</f>
        <v/>
      </c>
    </row>
    <row r="268" customFormat="false" ht="15" hidden="false" customHeight="false" outlineLevel="0" collapsed="false">
      <c r="A268" s="24"/>
      <c r="B268" s="25"/>
      <c r="C268" s="25"/>
      <c r="D268" s="25"/>
      <c r="E268" s="6"/>
      <c r="F268" s="26" t="str">
        <f aca="false">IF(A268="","",MONTH(A268))</f>
        <v/>
      </c>
      <c r="G268" s="26" t="str">
        <f aca="false">IF(A268="","",YEAR(A268))</f>
        <v/>
      </c>
      <c r="H268" s="11" t="str">
        <f aca="false">IF(OR(C268="",B268&lt;&gt;"Pengeluaran"),"",IFERROR(INDEX(Dashboard!$B$18:$B$39,MATCH(C268,Dashboard!$A$18:$A$39,0)),""))</f>
        <v/>
      </c>
    </row>
    <row r="269" customFormat="false" ht="15" hidden="false" customHeight="false" outlineLevel="0" collapsed="false">
      <c r="A269" s="24"/>
      <c r="B269" s="25"/>
      <c r="C269" s="25"/>
      <c r="D269" s="25"/>
      <c r="E269" s="6"/>
      <c r="F269" s="26" t="str">
        <f aca="false">IF(A269="","",MONTH(A269))</f>
        <v/>
      </c>
      <c r="G269" s="26" t="str">
        <f aca="false">IF(A269="","",YEAR(A269))</f>
        <v/>
      </c>
      <c r="H269" s="11" t="str">
        <f aca="false">IF(OR(C269="",B269&lt;&gt;"Pengeluaran"),"",IFERROR(INDEX(Dashboard!$B$18:$B$39,MATCH(C269,Dashboard!$A$18:$A$39,0)),""))</f>
        <v/>
      </c>
    </row>
    <row r="270" customFormat="false" ht="15" hidden="false" customHeight="false" outlineLevel="0" collapsed="false">
      <c r="A270" s="24"/>
      <c r="B270" s="25"/>
      <c r="C270" s="25"/>
      <c r="D270" s="25"/>
      <c r="E270" s="6"/>
      <c r="F270" s="26" t="str">
        <f aca="false">IF(A270="","",MONTH(A270))</f>
        <v/>
      </c>
      <c r="G270" s="26" t="str">
        <f aca="false">IF(A270="","",YEAR(A270))</f>
        <v/>
      </c>
      <c r="H270" s="11" t="str">
        <f aca="false">IF(OR(C270="",B270&lt;&gt;"Pengeluaran"),"",IFERROR(INDEX(Dashboard!$B$18:$B$39,MATCH(C270,Dashboard!$A$18:$A$39,0)),""))</f>
        <v/>
      </c>
    </row>
    <row r="271" customFormat="false" ht="15" hidden="false" customHeight="false" outlineLevel="0" collapsed="false">
      <c r="A271" s="24"/>
      <c r="B271" s="25"/>
      <c r="C271" s="25"/>
      <c r="D271" s="25"/>
      <c r="E271" s="6"/>
      <c r="F271" s="26" t="str">
        <f aca="false">IF(A271="","",MONTH(A271))</f>
        <v/>
      </c>
      <c r="G271" s="26" t="str">
        <f aca="false">IF(A271="","",YEAR(A271))</f>
        <v/>
      </c>
      <c r="H271" s="11" t="str">
        <f aca="false">IF(OR(C271="",B271&lt;&gt;"Pengeluaran"),"",IFERROR(INDEX(Dashboard!$B$18:$B$39,MATCH(C271,Dashboard!$A$18:$A$39,0)),""))</f>
        <v/>
      </c>
    </row>
    <row r="272" customFormat="false" ht="15" hidden="false" customHeight="false" outlineLevel="0" collapsed="false">
      <c r="A272" s="24"/>
      <c r="B272" s="25"/>
      <c r="C272" s="25"/>
      <c r="D272" s="25"/>
      <c r="E272" s="6"/>
      <c r="F272" s="26" t="str">
        <f aca="false">IF(A272="","",MONTH(A272))</f>
        <v/>
      </c>
      <c r="G272" s="26" t="str">
        <f aca="false">IF(A272="","",YEAR(A272))</f>
        <v/>
      </c>
      <c r="H272" s="11" t="str">
        <f aca="false">IF(OR(C272="",B272&lt;&gt;"Pengeluaran"),"",IFERROR(INDEX(Dashboard!$B$18:$B$39,MATCH(C272,Dashboard!$A$18:$A$39,0)),""))</f>
        <v/>
      </c>
    </row>
    <row r="273" customFormat="false" ht="15" hidden="false" customHeight="false" outlineLevel="0" collapsed="false">
      <c r="A273" s="24"/>
      <c r="B273" s="25"/>
      <c r="C273" s="25"/>
      <c r="D273" s="25"/>
      <c r="E273" s="6"/>
      <c r="F273" s="26" t="str">
        <f aca="false">IF(A273="","",MONTH(A273))</f>
        <v/>
      </c>
      <c r="G273" s="26" t="str">
        <f aca="false">IF(A273="","",YEAR(A273))</f>
        <v/>
      </c>
      <c r="H273" s="11" t="str">
        <f aca="false">IF(OR(C273="",B273&lt;&gt;"Pengeluaran"),"",IFERROR(INDEX(Dashboard!$B$18:$B$39,MATCH(C273,Dashboard!$A$18:$A$39,0)),""))</f>
        <v/>
      </c>
    </row>
    <row r="274" customFormat="false" ht="15" hidden="false" customHeight="false" outlineLevel="0" collapsed="false">
      <c r="A274" s="24"/>
      <c r="B274" s="25"/>
      <c r="C274" s="25"/>
      <c r="D274" s="25"/>
      <c r="E274" s="6"/>
      <c r="F274" s="26" t="str">
        <f aca="false">IF(A274="","",MONTH(A274))</f>
        <v/>
      </c>
      <c r="G274" s="26" t="str">
        <f aca="false">IF(A274="","",YEAR(A274))</f>
        <v/>
      </c>
      <c r="H274" s="11" t="str">
        <f aca="false">IF(OR(C274="",B274&lt;&gt;"Pengeluaran"),"",IFERROR(INDEX(Dashboard!$B$18:$B$39,MATCH(C274,Dashboard!$A$18:$A$39,0)),""))</f>
        <v/>
      </c>
    </row>
    <row r="275" customFormat="false" ht="15" hidden="false" customHeight="false" outlineLevel="0" collapsed="false">
      <c r="A275" s="24"/>
      <c r="B275" s="25"/>
      <c r="C275" s="25"/>
      <c r="D275" s="25"/>
      <c r="E275" s="6"/>
      <c r="F275" s="26" t="str">
        <f aca="false">IF(A275="","",MONTH(A275))</f>
        <v/>
      </c>
      <c r="G275" s="26" t="str">
        <f aca="false">IF(A275="","",YEAR(A275))</f>
        <v/>
      </c>
      <c r="H275" s="11" t="str">
        <f aca="false">IF(OR(C275="",B275&lt;&gt;"Pengeluaran"),"",IFERROR(INDEX(Dashboard!$B$18:$B$39,MATCH(C275,Dashboard!$A$18:$A$39,0)),""))</f>
        <v/>
      </c>
    </row>
    <row r="276" customFormat="false" ht="15" hidden="false" customHeight="false" outlineLevel="0" collapsed="false">
      <c r="A276" s="24"/>
      <c r="B276" s="25"/>
      <c r="C276" s="25"/>
      <c r="D276" s="25"/>
      <c r="E276" s="6"/>
      <c r="F276" s="26" t="str">
        <f aca="false">IF(A276="","",MONTH(A276))</f>
        <v/>
      </c>
      <c r="G276" s="26" t="str">
        <f aca="false">IF(A276="","",YEAR(A276))</f>
        <v/>
      </c>
      <c r="H276" s="11" t="str">
        <f aca="false">IF(OR(C276="",B276&lt;&gt;"Pengeluaran"),"",IFERROR(INDEX(Dashboard!$B$18:$B$39,MATCH(C276,Dashboard!$A$18:$A$39,0)),""))</f>
        <v/>
      </c>
    </row>
    <row r="277" customFormat="false" ht="15" hidden="false" customHeight="false" outlineLevel="0" collapsed="false">
      <c r="A277" s="24"/>
      <c r="B277" s="25"/>
      <c r="C277" s="25"/>
      <c r="D277" s="25"/>
      <c r="E277" s="6"/>
      <c r="F277" s="26" t="str">
        <f aca="false">IF(A277="","",MONTH(A277))</f>
        <v/>
      </c>
      <c r="G277" s="26" t="str">
        <f aca="false">IF(A277="","",YEAR(A277))</f>
        <v/>
      </c>
      <c r="H277" s="11" t="str">
        <f aca="false">IF(OR(C277="",B277&lt;&gt;"Pengeluaran"),"",IFERROR(INDEX(Dashboard!$B$18:$B$39,MATCH(C277,Dashboard!$A$18:$A$39,0)),""))</f>
        <v/>
      </c>
    </row>
    <row r="278" customFormat="false" ht="15" hidden="false" customHeight="false" outlineLevel="0" collapsed="false">
      <c r="A278" s="24"/>
      <c r="B278" s="25"/>
      <c r="C278" s="25"/>
      <c r="D278" s="25"/>
      <c r="E278" s="6"/>
      <c r="F278" s="26" t="str">
        <f aca="false">IF(A278="","",MONTH(A278))</f>
        <v/>
      </c>
      <c r="G278" s="26" t="str">
        <f aca="false">IF(A278="","",YEAR(A278))</f>
        <v/>
      </c>
      <c r="H278" s="11" t="str">
        <f aca="false">IF(OR(C278="",B278&lt;&gt;"Pengeluaran"),"",IFERROR(INDEX(Dashboard!$B$18:$B$39,MATCH(C278,Dashboard!$A$18:$A$39,0)),""))</f>
        <v/>
      </c>
    </row>
    <row r="279" customFormat="false" ht="15" hidden="false" customHeight="false" outlineLevel="0" collapsed="false">
      <c r="A279" s="24"/>
      <c r="B279" s="25"/>
      <c r="C279" s="25"/>
      <c r="D279" s="25"/>
      <c r="E279" s="6"/>
      <c r="F279" s="26" t="str">
        <f aca="false">IF(A279="","",MONTH(A279))</f>
        <v/>
      </c>
      <c r="G279" s="26" t="str">
        <f aca="false">IF(A279="","",YEAR(A279))</f>
        <v/>
      </c>
      <c r="H279" s="11" t="str">
        <f aca="false">IF(OR(C279="",B279&lt;&gt;"Pengeluaran"),"",IFERROR(INDEX(Dashboard!$B$18:$B$39,MATCH(C279,Dashboard!$A$18:$A$39,0)),""))</f>
        <v/>
      </c>
    </row>
    <row r="280" customFormat="false" ht="15" hidden="false" customHeight="false" outlineLevel="0" collapsed="false">
      <c r="A280" s="24"/>
      <c r="B280" s="25"/>
      <c r="C280" s="25"/>
      <c r="D280" s="25"/>
      <c r="E280" s="6"/>
      <c r="F280" s="26" t="str">
        <f aca="false">IF(A280="","",MONTH(A280))</f>
        <v/>
      </c>
      <c r="G280" s="26" t="str">
        <f aca="false">IF(A280="","",YEAR(A280))</f>
        <v/>
      </c>
      <c r="H280" s="11" t="str">
        <f aca="false">IF(OR(C280="",B280&lt;&gt;"Pengeluaran"),"",IFERROR(INDEX(Dashboard!$B$18:$B$39,MATCH(C280,Dashboard!$A$18:$A$39,0)),""))</f>
        <v/>
      </c>
    </row>
    <row r="281" customFormat="false" ht="15" hidden="false" customHeight="false" outlineLevel="0" collapsed="false">
      <c r="A281" s="24"/>
      <c r="B281" s="25"/>
      <c r="C281" s="25"/>
      <c r="D281" s="25"/>
      <c r="E281" s="6"/>
      <c r="F281" s="26" t="str">
        <f aca="false">IF(A281="","",MONTH(A281))</f>
        <v/>
      </c>
      <c r="G281" s="26" t="str">
        <f aca="false">IF(A281="","",YEAR(A281))</f>
        <v/>
      </c>
      <c r="H281" s="11" t="str">
        <f aca="false">IF(OR(C281="",B281&lt;&gt;"Pengeluaran"),"",IFERROR(INDEX(Dashboard!$B$18:$B$39,MATCH(C281,Dashboard!$A$18:$A$39,0)),""))</f>
        <v/>
      </c>
    </row>
    <row r="282" customFormat="false" ht="15" hidden="false" customHeight="false" outlineLevel="0" collapsed="false">
      <c r="A282" s="24"/>
      <c r="B282" s="25"/>
      <c r="C282" s="25"/>
      <c r="D282" s="25"/>
      <c r="E282" s="6"/>
      <c r="F282" s="26" t="str">
        <f aca="false">IF(A282="","",MONTH(A282))</f>
        <v/>
      </c>
      <c r="G282" s="26" t="str">
        <f aca="false">IF(A282="","",YEAR(A282))</f>
        <v/>
      </c>
      <c r="H282" s="11" t="str">
        <f aca="false">IF(OR(C282="",B282&lt;&gt;"Pengeluaran"),"",IFERROR(INDEX(Dashboard!$B$18:$B$39,MATCH(C282,Dashboard!$A$18:$A$39,0)),""))</f>
        <v/>
      </c>
    </row>
    <row r="283" customFormat="false" ht="15" hidden="false" customHeight="false" outlineLevel="0" collapsed="false">
      <c r="A283" s="24"/>
      <c r="B283" s="25"/>
      <c r="C283" s="25"/>
      <c r="D283" s="25"/>
      <c r="E283" s="6"/>
      <c r="F283" s="26" t="str">
        <f aca="false">IF(A283="","",MONTH(A283))</f>
        <v/>
      </c>
      <c r="G283" s="26" t="str">
        <f aca="false">IF(A283="","",YEAR(A283))</f>
        <v/>
      </c>
      <c r="H283" s="11" t="str">
        <f aca="false">IF(OR(C283="",B283&lt;&gt;"Pengeluaran"),"",IFERROR(INDEX(Dashboard!$B$18:$B$39,MATCH(C283,Dashboard!$A$18:$A$39,0)),""))</f>
        <v/>
      </c>
    </row>
    <row r="284" customFormat="false" ht="15" hidden="false" customHeight="false" outlineLevel="0" collapsed="false">
      <c r="A284" s="24"/>
      <c r="B284" s="25"/>
      <c r="C284" s="25"/>
      <c r="D284" s="25"/>
      <c r="E284" s="6"/>
      <c r="F284" s="26" t="str">
        <f aca="false">IF(A284="","",MONTH(A284))</f>
        <v/>
      </c>
      <c r="G284" s="26" t="str">
        <f aca="false">IF(A284="","",YEAR(A284))</f>
        <v/>
      </c>
      <c r="H284" s="11" t="str">
        <f aca="false">IF(OR(C284="",B284&lt;&gt;"Pengeluaran"),"",IFERROR(INDEX(Dashboard!$B$18:$B$39,MATCH(C284,Dashboard!$A$18:$A$39,0)),""))</f>
        <v/>
      </c>
    </row>
    <row r="285" customFormat="false" ht="15" hidden="false" customHeight="false" outlineLevel="0" collapsed="false">
      <c r="A285" s="24"/>
      <c r="B285" s="25"/>
      <c r="C285" s="25"/>
      <c r="D285" s="25"/>
      <c r="E285" s="6"/>
      <c r="F285" s="26" t="str">
        <f aca="false">IF(A285="","",MONTH(A285))</f>
        <v/>
      </c>
      <c r="G285" s="26" t="str">
        <f aca="false">IF(A285="","",YEAR(A285))</f>
        <v/>
      </c>
      <c r="H285" s="11" t="str">
        <f aca="false">IF(OR(C285="",B285&lt;&gt;"Pengeluaran"),"",IFERROR(INDEX(Dashboard!$B$18:$B$39,MATCH(C285,Dashboard!$A$18:$A$39,0)),""))</f>
        <v/>
      </c>
    </row>
    <row r="286" customFormat="false" ht="15" hidden="false" customHeight="false" outlineLevel="0" collapsed="false">
      <c r="A286" s="24"/>
      <c r="B286" s="25"/>
      <c r="C286" s="25"/>
      <c r="D286" s="25"/>
      <c r="E286" s="6"/>
      <c r="F286" s="26" t="str">
        <f aca="false">IF(A286="","",MONTH(A286))</f>
        <v/>
      </c>
      <c r="G286" s="26" t="str">
        <f aca="false">IF(A286="","",YEAR(A286))</f>
        <v/>
      </c>
      <c r="H286" s="11" t="str">
        <f aca="false">IF(OR(C286="",B286&lt;&gt;"Pengeluaran"),"",IFERROR(INDEX(Dashboard!$B$18:$B$39,MATCH(C286,Dashboard!$A$18:$A$39,0)),""))</f>
        <v/>
      </c>
    </row>
    <row r="287" customFormat="false" ht="15" hidden="false" customHeight="false" outlineLevel="0" collapsed="false">
      <c r="A287" s="24"/>
      <c r="B287" s="25"/>
      <c r="C287" s="25"/>
      <c r="D287" s="25"/>
      <c r="E287" s="6"/>
      <c r="F287" s="26" t="str">
        <f aca="false">IF(A287="","",MONTH(A287))</f>
        <v/>
      </c>
      <c r="G287" s="26" t="str">
        <f aca="false">IF(A287="","",YEAR(A287))</f>
        <v/>
      </c>
      <c r="H287" s="11" t="str">
        <f aca="false">IF(OR(C287="",B287&lt;&gt;"Pengeluaran"),"",IFERROR(INDEX(Dashboard!$B$18:$B$39,MATCH(C287,Dashboard!$A$18:$A$39,0)),""))</f>
        <v/>
      </c>
    </row>
    <row r="288" customFormat="false" ht="15" hidden="false" customHeight="false" outlineLevel="0" collapsed="false">
      <c r="A288" s="24"/>
      <c r="B288" s="25"/>
      <c r="C288" s="25"/>
      <c r="D288" s="25"/>
      <c r="E288" s="6"/>
      <c r="F288" s="26" t="str">
        <f aca="false">IF(A288="","",MONTH(A288))</f>
        <v/>
      </c>
      <c r="G288" s="26" t="str">
        <f aca="false">IF(A288="","",YEAR(A288))</f>
        <v/>
      </c>
      <c r="H288" s="11" t="str">
        <f aca="false">IF(OR(C288="",B288&lt;&gt;"Pengeluaran"),"",IFERROR(INDEX(Dashboard!$B$18:$B$39,MATCH(C288,Dashboard!$A$18:$A$39,0)),""))</f>
        <v/>
      </c>
    </row>
    <row r="289" customFormat="false" ht="15" hidden="false" customHeight="false" outlineLevel="0" collapsed="false">
      <c r="A289" s="24"/>
      <c r="B289" s="25"/>
      <c r="C289" s="25"/>
      <c r="D289" s="25"/>
      <c r="E289" s="6"/>
      <c r="F289" s="26" t="str">
        <f aca="false">IF(A289="","",MONTH(A289))</f>
        <v/>
      </c>
      <c r="G289" s="26" t="str">
        <f aca="false">IF(A289="","",YEAR(A289))</f>
        <v/>
      </c>
      <c r="H289" s="11" t="str">
        <f aca="false">IF(OR(C289="",B289&lt;&gt;"Pengeluaran"),"",IFERROR(INDEX(Dashboard!$B$18:$B$39,MATCH(C289,Dashboard!$A$18:$A$39,0)),""))</f>
        <v/>
      </c>
    </row>
    <row r="290" customFormat="false" ht="15" hidden="false" customHeight="false" outlineLevel="0" collapsed="false">
      <c r="A290" s="24"/>
      <c r="B290" s="25"/>
      <c r="C290" s="25"/>
      <c r="D290" s="25"/>
      <c r="E290" s="6"/>
      <c r="F290" s="26" t="str">
        <f aca="false">IF(A290="","",MONTH(A290))</f>
        <v/>
      </c>
      <c r="G290" s="26" t="str">
        <f aca="false">IF(A290="","",YEAR(A290))</f>
        <v/>
      </c>
      <c r="H290" s="11" t="str">
        <f aca="false">IF(OR(C290="",B290&lt;&gt;"Pengeluaran"),"",IFERROR(INDEX(Dashboard!$B$18:$B$39,MATCH(C290,Dashboard!$A$18:$A$39,0)),""))</f>
        <v/>
      </c>
    </row>
    <row r="291" customFormat="false" ht="15" hidden="false" customHeight="false" outlineLevel="0" collapsed="false">
      <c r="A291" s="24"/>
      <c r="B291" s="25"/>
      <c r="C291" s="25"/>
      <c r="D291" s="25"/>
      <c r="E291" s="6"/>
      <c r="F291" s="26" t="str">
        <f aca="false">IF(A291="","",MONTH(A291))</f>
        <v/>
      </c>
      <c r="G291" s="26" t="str">
        <f aca="false">IF(A291="","",YEAR(A291))</f>
        <v/>
      </c>
      <c r="H291" s="11" t="str">
        <f aca="false">IF(OR(C291="",B291&lt;&gt;"Pengeluaran"),"",IFERROR(INDEX(Dashboard!$B$18:$B$39,MATCH(C291,Dashboard!$A$18:$A$39,0)),""))</f>
        <v/>
      </c>
    </row>
    <row r="292" customFormat="false" ht="15" hidden="false" customHeight="false" outlineLevel="0" collapsed="false">
      <c r="A292" s="24"/>
      <c r="B292" s="25"/>
      <c r="C292" s="25"/>
      <c r="D292" s="25"/>
      <c r="E292" s="6"/>
      <c r="F292" s="26" t="str">
        <f aca="false">IF(A292="","",MONTH(A292))</f>
        <v/>
      </c>
      <c r="G292" s="26" t="str">
        <f aca="false">IF(A292="","",YEAR(A292))</f>
        <v/>
      </c>
      <c r="H292" s="11" t="str">
        <f aca="false">IF(OR(C292="",B292&lt;&gt;"Pengeluaran"),"",IFERROR(INDEX(Dashboard!$B$18:$B$39,MATCH(C292,Dashboard!$A$18:$A$39,0)),""))</f>
        <v/>
      </c>
    </row>
    <row r="293" customFormat="false" ht="15" hidden="false" customHeight="false" outlineLevel="0" collapsed="false">
      <c r="A293" s="24"/>
      <c r="B293" s="25"/>
      <c r="C293" s="25"/>
      <c r="D293" s="25"/>
      <c r="E293" s="6"/>
      <c r="F293" s="26" t="str">
        <f aca="false">IF(A293="","",MONTH(A293))</f>
        <v/>
      </c>
      <c r="G293" s="26" t="str">
        <f aca="false">IF(A293="","",YEAR(A293))</f>
        <v/>
      </c>
      <c r="H293" s="11" t="str">
        <f aca="false">IF(OR(C293="",B293&lt;&gt;"Pengeluaran"),"",IFERROR(INDEX(Dashboard!$B$18:$B$39,MATCH(C293,Dashboard!$A$18:$A$39,0)),""))</f>
        <v/>
      </c>
    </row>
    <row r="294" customFormat="false" ht="15" hidden="false" customHeight="false" outlineLevel="0" collapsed="false">
      <c r="A294" s="24"/>
      <c r="B294" s="25"/>
      <c r="C294" s="25"/>
      <c r="D294" s="25"/>
      <c r="E294" s="6"/>
      <c r="F294" s="26" t="str">
        <f aca="false">IF(A294="","",MONTH(A294))</f>
        <v/>
      </c>
      <c r="G294" s="26" t="str">
        <f aca="false">IF(A294="","",YEAR(A294))</f>
        <v/>
      </c>
      <c r="H294" s="11" t="str">
        <f aca="false">IF(OR(C294="",B294&lt;&gt;"Pengeluaran"),"",IFERROR(INDEX(Dashboard!$B$18:$B$39,MATCH(C294,Dashboard!$A$18:$A$39,0)),""))</f>
        <v/>
      </c>
    </row>
    <row r="295" customFormat="false" ht="15" hidden="false" customHeight="false" outlineLevel="0" collapsed="false">
      <c r="A295" s="24"/>
      <c r="B295" s="25"/>
      <c r="C295" s="25"/>
      <c r="D295" s="25"/>
      <c r="E295" s="6"/>
      <c r="F295" s="26" t="str">
        <f aca="false">IF(A295="","",MONTH(A295))</f>
        <v/>
      </c>
      <c r="G295" s="26" t="str">
        <f aca="false">IF(A295="","",YEAR(A295))</f>
        <v/>
      </c>
      <c r="H295" s="11" t="str">
        <f aca="false">IF(OR(C295="",B295&lt;&gt;"Pengeluaran"),"",IFERROR(INDEX(Dashboard!$B$18:$B$39,MATCH(C295,Dashboard!$A$18:$A$39,0)),""))</f>
        <v/>
      </c>
    </row>
    <row r="296" customFormat="false" ht="15" hidden="false" customHeight="false" outlineLevel="0" collapsed="false">
      <c r="A296" s="24"/>
      <c r="B296" s="25"/>
      <c r="C296" s="25"/>
      <c r="D296" s="25"/>
      <c r="E296" s="6"/>
      <c r="F296" s="26" t="str">
        <f aca="false">IF(A296="","",MONTH(A296))</f>
        <v/>
      </c>
      <c r="G296" s="26" t="str">
        <f aca="false">IF(A296="","",YEAR(A296))</f>
        <v/>
      </c>
      <c r="H296" s="11" t="str">
        <f aca="false">IF(OR(C296="",B296&lt;&gt;"Pengeluaran"),"",IFERROR(INDEX(Dashboard!$B$18:$B$39,MATCH(C296,Dashboard!$A$18:$A$39,0)),""))</f>
        <v/>
      </c>
    </row>
    <row r="297" customFormat="false" ht="15" hidden="false" customHeight="false" outlineLevel="0" collapsed="false">
      <c r="A297" s="24"/>
      <c r="B297" s="25"/>
      <c r="C297" s="25"/>
      <c r="D297" s="25"/>
      <c r="E297" s="6"/>
      <c r="F297" s="26" t="str">
        <f aca="false">IF(A297="","",MONTH(A297))</f>
        <v/>
      </c>
      <c r="G297" s="26" t="str">
        <f aca="false">IF(A297="","",YEAR(A297))</f>
        <v/>
      </c>
      <c r="H297" s="11" t="str">
        <f aca="false">IF(OR(C297="",B297&lt;&gt;"Pengeluaran"),"",IFERROR(INDEX(Dashboard!$B$18:$B$39,MATCH(C297,Dashboard!$A$18:$A$39,0)),""))</f>
        <v/>
      </c>
    </row>
    <row r="298" customFormat="false" ht="15" hidden="false" customHeight="false" outlineLevel="0" collapsed="false">
      <c r="A298" s="24"/>
      <c r="B298" s="25"/>
      <c r="C298" s="25"/>
      <c r="D298" s="25"/>
      <c r="E298" s="6"/>
      <c r="F298" s="26" t="str">
        <f aca="false">IF(A298="","",MONTH(A298))</f>
        <v/>
      </c>
      <c r="G298" s="26" t="str">
        <f aca="false">IF(A298="","",YEAR(A298))</f>
        <v/>
      </c>
      <c r="H298" s="11" t="str">
        <f aca="false">IF(OR(C298="",B298&lt;&gt;"Pengeluaran"),"",IFERROR(INDEX(Dashboard!$B$18:$B$39,MATCH(C298,Dashboard!$A$18:$A$39,0)),""))</f>
        <v/>
      </c>
    </row>
    <row r="299" customFormat="false" ht="15" hidden="false" customHeight="false" outlineLevel="0" collapsed="false">
      <c r="A299" s="24"/>
      <c r="B299" s="25"/>
      <c r="C299" s="25"/>
      <c r="D299" s="25"/>
      <c r="E299" s="6"/>
      <c r="F299" s="26" t="str">
        <f aca="false">IF(A299="","",MONTH(A299))</f>
        <v/>
      </c>
      <c r="G299" s="26" t="str">
        <f aca="false">IF(A299="","",YEAR(A299))</f>
        <v/>
      </c>
      <c r="H299" s="11" t="str">
        <f aca="false">IF(OR(C299="",B299&lt;&gt;"Pengeluaran"),"",IFERROR(INDEX(Dashboard!$B$18:$B$39,MATCH(C299,Dashboard!$A$18:$A$39,0)),""))</f>
        <v/>
      </c>
    </row>
    <row r="300" customFormat="false" ht="15" hidden="false" customHeight="false" outlineLevel="0" collapsed="false">
      <c r="A300" s="24"/>
      <c r="B300" s="25"/>
      <c r="C300" s="25"/>
      <c r="D300" s="25"/>
      <c r="E300" s="6"/>
      <c r="F300" s="26" t="str">
        <f aca="false">IF(A300="","",MONTH(A300))</f>
        <v/>
      </c>
      <c r="G300" s="26" t="str">
        <f aca="false">IF(A300="","",YEAR(A300))</f>
        <v/>
      </c>
      <c r="H300" s="11" t="str">
        <f aca="false">IF(OR(C300="",B300&lt;&gt;"Pengeluaran"),"",IFERROR(INDEX(Dashboard!$B$18:$B$39,MATCH(C300,Dashboard!$A$18:$A$39,0)),""))</f>
        <v/>
      </c>
    </row>
    <row r="301" customFormat="false" ht="15" hidden="false" customHeight="false" outlineLevel="0" collapsed="false">
      <c r="A301" s="24"/>
      <c r="B301" s="25"/>
      <c r="C301" s="25"/>
      <c r="D301" s="25"/>
      <c r="E301" s="6"/>
      <c r="F301" s="26" t="str">
        <f aca="false">IF(A301="","",MONTH(A301))</f>
        <v/>
      </c>
      <c r="G301" s="26" t="str">
        <f aca="false">IF(A301="","",YEAR(A301))</f>
        <v/>
      </c>
      <c r="H301" s="11" t="str">
        <f aca="false">IF(OR(C301="",B301&lt;&gt;"Pengeluaran"),"",IFERROR(INDEX(Dashboard!$B$18:$B$39,MATCH(C301,Dashboard!$A$18:$A$39,0)),""))</f>
        <v/>
      </c>
    </row>
    <row r="302" customFormat="false" ht="15" hidden="false" customHeight="false" outlineLevel="0" collapsed="false">
      <c r="A302" s="24"/>
      <c r="B302" s="25"/>
      <c r="C302" s="25"/>
      <c r="D302" s="25"/>
      <c r="E302" s="6"/>
      <c r="F302" s="26" t="str">
        <f aca="false">IF(A302="","",MONTH(A302))</f>
        <v/>
      </c>
      <c r="G302" s="26" t="str">
        <f aca="false">IF(A302="","",YEAR(A302))</f>
        <v/>
      </c>
      <c r="H302" s="11" t="str">
        <f aca="false">IF(OR(C302="",B302&lt;&gt;"Pengeluaran"),"",IFERROR(INDEX(Dashboard!$B$18:$B$39,MATCH(C302,Dashboard!$A$18:$A$39,0)),""))</f>
        <v/>
      </c>
    </row>
    <row r="303" customFormat="false" ht="15" hidden="false" customHeight="false" outlineLevel="0" collapsed="false">
      <c r="A303" s="24"/>
      <c r="B303" s="25"/>
      <c r="C303" s="25"/>
      <c r="D303" s="25"/>
      <c r="E303" s="6"/>
      <c r="F303" s="26" t="str">
        <f aca="false">IF(A303="","",MONTH(A303))</f>
        <v/>
      </c>
      <c r="G303" s="26" t="str">
        <f aca="false">IF(A303="","",YEAR(A303))</f>
        <v/>
      </c>
      <c r="H303" s="11" t="str">
        <f aca="false">IF(OR(C303="",B303&lt;&gt;"Pengeluaran"),"",IFERROR(INDEX(Dashboard!$B$18:$B$39,MATCH(C303,Dashboard!$A$18:$A$39,0)),""))</f>
        <v/>
      </c>
    </row>
    <row r="304" customFormat="false" ht="15" hidden="false" customHeight="false" outlineLevel="0" collapsed="false">
      <c r="A304" s="24"/>
      <c r="B304" s="25"/>
      <c r="C304" s="25"/>
      <c r="D304" s="25"/>
      <c r="E304" s="6"/>
      <c r="F304" s="26" t="str">
        <f aca="false">IF(A304="","",MONTH(A304))</f>
        <v/>
      </c>
      <c r="G304" s="26" t="str">
        <f aca="false">IF(A304="","",YEAR(A304))</f>
        <v/>
      </c>
      <c r="H304" s="11" t="str">
        <f aca="false">IF(OR(C304="",B304&lt;&gt;"Pengeluaran"),"",IFERROR(INDEX(Dashboard!$B$18:$B$39,MATCH(C304,Dashboard!$A$18:$A$39,0)),""))</f>
        <v/>
      </c>
    </row>
    <row r="305" customFormat="false" ht="15" hidden="false" customHeight="false" outlineLevel="0" collapsed="false">
      <c r="A305" s="24"/>
      <c r="B305" s="25"/>
      <c r="C305" s="25"/>
      <c r="D305" s="25"/>
      <c r="E305" s="6"/>
      <c r="F305" s="26" t="str">
        <f aca="false">IF(A305="","",MONTH(A305))</f>
        <v/>
      </c>
      <c r="G305" s="26" t="str">
        <f aca="false">IF(A305="","",YEAR(A305))</f>
        <v/>
      </c>
      <c r="H305" s="11" t="str">
        <f aca="false">IF(OR(C305="",B305&lt;&gt;"Pengeluaran"),"",IFERROR(INDEX(Dashboard!$B$18:$B$39,MATCH(C305,Dashboard!$A$18:$A$39,0)),""))</f>
        <v/>
      </c>
    </row>
    <row r="306" customFormat="false" ht="15" hidden="false" customHeight="false" outlineLevel="0" collapsed="false">
      <c r="A306" s="24"/>
      <c r="B306" s="25"/>
      <c r="C306" s="25"/>
      <c r="D306" s="25"/>
      <c r="E306" s="6"/>
      <c r="F306" s="26" t="str">
        <f aca="false">IF(A306="","",MONTH(A306))</f>
        <v/>
      </c>
      <c r="G306" s="26" t="str">
        <f aca="false">IF(A306="","",YEAR(A306))</f>
        <v/>
      </c>
      <c r="H306" s="11" t="str">
        <f aca="false">IF(OR(C306="",B306&lt;&gt;"Pengeluaran"),"",IFERROR(INDEX(Dashboard!$B$18:$B$39,MATCH(C306,Dashboard!$A$18:$A$39,0)),""))</f>
        <v/>
      </c>
    </row>
    <row r="307" customFormat="false" ht="15" hidden="false" customHeight="false" outlineLevel="0" collapsed="false">
      <c r="A307" s="24"/>
      <c r="B307" s="25"/>
      <c r="C307" s="25"/>
      <c r="D307" s="25"/>
      <c r="E307" s="6"/>
      <c r="F307" s="26" t="str">
        <f aca="false">IF(A307="","",MONTH(A307))</f>
        <v/>
      </c>
      <c r="G307" s="26" t="str">
        <f aca="false">IF(A307="","",YEAR(A307))</f>
        <v/>
      </c>
      <c r="H307" s="11" t="str">
        <f aca="false">IF(OR(C307="",B307&lt;&gt;"Pengeluaran"),"",IFERROR(INDEX(Dashboard!$B$18:$B$39,MATCH(C307,Dashboard!$A$18:$A$39,0)),""))</f>
        <v/>
      </c>
    </row>
    <row r="308" customFormat="false" ht="15" hidden="false" customHeight="false" outlineLevel="0" collapsed="false">
      <c r="A308" s="24"/>
      <c r="B308" s="25"/>
      <c r="C308" s="25"/>
      <c r="D308" s="25"/>
      <c r="E308" s="6"/>
      <c r="F308" s="26" t="str">
        <f aca="false">IF(A308="","",MONTH(A308))</f>
        <v/>
      </c>
      <c r="G308" s="26" t="str">
        <f aca="false">IF(A308="","",YEAR(A308))</f>
        <v/>
      </c>
      <c r="H308" s="11" t="str">
        <f aca="false">IF(OR(C308="",B308&lt;&gt;"Pengeluaran"),"",IFERROR(INDEX(Dashboard!$B$18:$B$39,MATCH(C308,Dashboard!$A$18:$A$39,0)),""))</f>
        <v/>
      </c>
    </row>
    <row r="309" customFormat="false" ht="15" hidden="false" customHeight="false" outlineLevel="0" collapsed="false">
      <c r="A309" s="24"/>
      <c r="B309" s="25"/>
      <c r="C309" s="25"/>
      <c r="D309" s="25"/>
      <c r="E309" s="6"/>
      <c r="F309" s="26" t="str">
        <f aca="false">IF(A309="","",MONTH(A309))</f>
        <v/>
      </c>
      <c r="G309" s="26" t="str">
        <f aca="false">IF(A309="","",YEAR(A309))</f>
        <v/>
      </c>
      <c r="H309" s="11" t="str">
        <f aca="false">IF(OR(C309="",B309&lt;&gt;"Pengeluaran"),"",IFERROR(INDEX(Dashboard!$B$18:$B$39,MATCH(C309,Dashboard!$A$18:$A$39,0)),""))</f>
        <v/>
      </c>
    </row>
    <row r="310" customFormat="false" ht="15" hidden="false" customHeight="false" outlineLevel="0" collapsed="false">
      <c r="A310" s="24"/>
      <c r="B310" s="25"/>
      <c r="C310" s="25"/>
      <c r="D310" s="25"/>
      <c r="E310" s="6"/>
      <c r="F310" s="26" t="str">
        <f aca="false">IF(A310="","",MONTH(A310))</f>
        <v/>
      </c>
      <c r="G310" s="26" t="str">
        <f aca="false">IF(A310="","",YEAR(A310))</f>
        <v/>
      </c>
      <c r="H310" s="11" t="str">
        <f aca="false">IF(OR(C310="",B310&lt;&gt;"Pengeluaran"),"",IFERROR(INDEX(Dashboard!$B$18:$B$39,MATCH(C310,Dashboard!$A$18:$A$39,0)),""))</f>
        <v/>
      </c>
    </row>
    <row r="311" customFormat="false" ht="15" hidden="false" customHeight="false" outlineLevel="0" collapsed="false">
      <c r="A311" s="24"/>
      <c r="B311" s="25"/>
      <c r="C311" s="25"/>
      <c r="D311" s="25"/>
      <c r="E311" s="6"/>
      <c r="F311" s="26" t="str">
        <f aca="false">IF(A311="","",MONTH(A311))</f>
        <v/>
      </c>
      <c r="G311" s="26" t="str">
        <f aca="false">IF(A311="","",YEAR(A311))</f>
        <v/>
      </c>
      <c r="H311" s="11" t="str">
        <f aca="false">IF(OR(C311="",B311&lt;&gt;"Pengeluaran"),"",IFERROR(INDEX(Dashboard!$B$18:$B$39,MATCH(C311,Dashboard!$A$18:$A$39,0)),""))</f>
        <v/>
      </c>
    </row>
    <row r="312" customFormat="false" ht="15" hidden="false" customHeight="false" outlineLevel="0" collapsed="false">
      <c r="A312" s="24"/>
      <c r="B312" s="25"/>
      <c r="C312" s="25"/>
      <c r="D312" s="25"/>
      <c r="E312" s="6"/>
      <c r="F312" s="26" t="str">
        <f aca="false">IF(A312="","",MONTH(A312))</f>
        <v/>
      </c>
      <c r="G312" s="26" t="str">
        <f aca="false">IF(A312="","",YEAR(A312))</f>
        <v/>
      </c>
      <c r="H312" s="11" t="str">
        <f aca="false">IF(OR(C312="",B312&lt;&gt;"Pengeluaran"),"",IFERROR(INDEX(Dashboard!$B$18:$B$39,MATCH(C312,Dashboard!$A$18:$A$39,0)),""))</f>
        <v/>
      </c>
    </row>
    <row r="313" customFormat="false" ht="15" hidden="false" customHeight="false" outlineLevel="0" collapsed="false">
      <c r="A313" s="24"/>
      <c r="B313" s="25"/>
      <c r="C313" s="25"/>
      <c r="D313" s="25"/>
      <c r="E313" s="6"/>
      <c r="F313" s="26" t="str">
        <f aca="false">IF(A313="","",MONTH(A313))</f>
        <v/>
      </c>
      <c r="G313" s="26" t="str">
        <f aca="false">IF(A313="","",YEAR(A313))</f>
        <v/>
      </c>
      <c r="H313" s="11" t="str">
        <f aca="false">IF(OR(C313="",B313&lt;&gt;"Pengeluaran"),"",IFERROR(INDEX(Dashboard!$B$18:$B$39,MATCH(C313,Dashboard!$A$18:$A$39,0)),""))</f>
        <v/>
      </c>
    </row>
    <row r="314" customFormat="false" ht="15" hidden="false" customHeight="false" outlineLevel="0" collapsed="false">
      <c r="A314" s="24"/>
      <c r="B314" s="25"/>
      <c r="C314" s="25"/>
      <c r="D314" s="25"/>
      <c r="E314" s="6"/>
      <c r="F314" s="26" t="str">
        <f aca="false">IF(A314="","",MONTH(A314))</f>
        <v/>
      </c>
      <c r="G314" s="26" t="str">
        <f aca="false">IF(A314="","",YEAR(A314))</f>
        <v/>
      </c>
      <c r="H314" s="11" t="str">
        <f aca="false">IF(OR(C314="",B314&lt;&gt;"Pengeluaran"),"",IFERROR(INDEX(Dashboard!$B$18:$B$39,MATCH(C314,Dashboard!$A$18:$A$39,0)),""))</f>
        <v/>
      </c>
    </row>
    <row r="315" customFormat="false" ht="15" hidden="false" customHeight="false" outlineLevel="0" collapsed="false">
      <c r="A315" s="24"/>
      <c r="B315" s="25"/>
      <c r="C315" s="25"/>
      <c r="D315" s="25"/>
      <c r="E315" s="6"/>
      <c r="F315" s="26" t="str">
        <f aca="false">IF(A315="","",MONTH(A315))</f>
        <v/>
      </c>
      <c r="G315" s="26" t="str">
        <f aca="false">IF(A315="","",YEAR(A315))</f>
        <v/>
      </c>
      <c r="H315" s="11" t="str">
        <f aca="false">IF(OR(C315="",B315&lt;&gt;"Pengeluaran"),"",IFERROR(INDEX(Dashboard!$B$18:$B$39,MATCH(C315,Dashboard!$A$18:$A$39,0)),""))</f>
        <v/>
      </c>
    </row>
    <row r="316" customFormat="false" ht="15" hidden="false" customHeight="false" outlineLevel="0" collapsed="false">
      <c r="A316" s="24"/>
      <c r="B316" s="25"/>
      <c r="C316" s="25"/>
      <c r="D316" s="25"/>
      <c r="E316" s="6"/>
      <c r="F316" s="26" t="str">
        <f aca="false">IF(A316="","",MONTH(A316))</f>
        <v/>
      </c>
      <c r="G316" s="26" t="str">
        <f aca="false">IF(A316="","",YEAR(A316))</f>
        <v/>
      </c>
      <c r="H316" s="11" t="str">
        <f aca="false">IF(OR(C316="",B316&lt;&gt;"Pengeluaran"),"",IFERROR(INDEX(Dashboard!$B$18:$B$39,MATCH(C316,Dashboard!$A$18:$A$39,0)),""))</f>
        <v/>
      </c>
    </row>
    <row r="317" customFormat="false" ht="15" hidden="false" customHeight="false" outlineLevel="0" collapsed="false">
      <c r="A317" s="24"/>
      <c r="B317" s="25"/>
      <c r="C317" s="25"/>
      <c r="D317" s="25"/>
      <c r="E317" s="6"/>
      <c r="F317" s="26" t="str">
        <f aca="false">IF(A317="","",MONTH(A317))</f>
        <v/>
      </c>
      <c r="G317" s="26" t="str">
        <f aca="false">IF(A317="","",YEAR(A317))</f>
        <v/>
      </c>
      <c r="H317" s="11" t="str">
        <f aca="false">IF(OR(C317="",B317&lt;&gt;"Pengeluaran"),"",IFERROR(INDEX(Dashboard!$B$18:$B$39,MATCH(C317,Dashboard!$A$18:$A$39,0)),""))</f>
        <v/>
      </c>
    </row>
    <row r="318" customFormat="false" ht="15" hidden="false" customHeight="false" outlineLevel="0" collapsed="false">
      <c r="A318" s="24"/>
      <c r="B318" s="25"/>
      <c r="C318" s="25"/>
      <c r="D318" s="25"/>
      <c r="E318" s="6"/>
      <c r="F318" s="26" t="str">
        <f aca="false">IF(A318="","",MONTH(A318))</f>
        <v/>
      </c>
      <c r="G318" s="26" t="str">
        <f aca="false">IF(A318="","",YEAR(A318))</f>
        <v/>
      </c>
      <c r="H318" s="11" t="str">
        <f aca="false">IF(OR(C318="",B318&lt;&gt;"Pengeluaran"),"",IFERROR(INDEX(Dashboard!$B$18:$B$39,MATCH(C318,Dashboard!$A$18:$A$39,0)),""))</f>
        <v/>
      </c>
    </row>
    <row r="319" customFormat="false" ht="15" hidden="false" customHeight="false" outlineLevel="0" collapsed="false">
      <c r="A319" s="24"/>
      <c r="B319" s="25"/>
      <c r="C319" s="25"/>
      <c r="D319" s="25"/>
      <c r="E319" s="6"/>
      <c r="F319" s="26" t="str">
        <f aca="false">IF(A319="","",MONTH(A319))</f>
        <v/>
      </c>
      <c r="G319" s="26" t="str">
        <f aca="false">IF(A319="","",YEAR(A319))</f>
        <v/>
      </c>
      <c r="H319" s="11" t="str">
        <f aca="false">IF(OR(C319="",B319&lt;&gt;"Pengeluaran"),"",IFERROR(INDEX(Dashboard!$B$18:$B$39,MATCH(C319,Dashboard!$A$18:$A$39,0)),""))</f>
        <v/>
      </c>
    </row>
    <row r="320" customFormat="false" ht="15" hidden="false" customHeight="false" outlineLevel="0" collapsed="false">
      <c r="A320" s="24"/>
      <c r="B320" s="25"/>
      <c r="C320" s="25"/>
      <c r="D320" s="25"/>
      <c r="E320" s="6"/>
      <c r="F320" s="26" t="str">
        <f aca="false">IF(A320="","",MONTH(A320))</f>
        <v/>
      </c>
      <c r="G320" s="26" t="str">
        <f aca="false">IF(A320="","",YEAR(A320))</f>
        <v/>
      </c>
      <c r="H320" s="11" t="str">
        <f aca="false">IF(OR(C320="",B320&lt;&gt;"Pengeluaran"),"",IFERROR(INDEX(Dashboard!$B$18:$B$39,MATCH(C320,Dashboard!$A$18:$A$39,0)),""))</f>
        <v/>
      </c>
    </row>
    <row r="321" customFormat="false" ht="15" hidden="false" customHeight="false" outlineLevel="0" collapsed="false">
      <c r="A321" s="24"/>
      <c r="B321" s="25"/>
      <c r="C321" s="25"/>
      <c r="D321" s="25"/>
      <c r="E321" s="6"/>
      <c r="F321" s="26" t="str">
        <f aca="false">IF(A321="","",MONTH(A321))</f>
        <v/>
      </c>
      <c r="G321" s="26" t="str">
        <f aca="false">IF(A321="","",YEAR(A321))</f>
        <v/>
      </c>
      <c r="H321" s="11" t="str">
        <f aca="false">IF(OR(C321="",B321&lt;&gt;"Pengeluaran"),"",IFERROR(INDEX(Dashboard!$B$18:$B$39,MATCH(C321,Dashboard!$A$18:$A$39,0)),""))</f>
        <v/>
      </c>
    </row>
    <row r="322" customFormat="false" ht="15" hidden="false" customHeight="false" outlineLevel="0" collapsed="false">
      <c r="A322" s="24"/>
      <c r="B322" s="25"/>
      <c r="C322" s="25"/>
      <c r="D322" s="25"/>
      <c r="E322" s="6"/>
      <c r="F322" s="26" t="str">
        <f aca="false">IF(A322="","",MONTH(A322))</f>
        <v/>
      </c>
      <c r="G322" s="26" t="str">
        <f aca="false">IF(A322="","",YEAR(A322))</f>
        <v/>
      </c>
      <c r="H322" s="11" t="str">
        <f aca="false">IF(OR(C322="",B322&lt;&gt;"Pengeluaran"),"",IFERROR(INDEX(Dashboard!$B$18:$B$39,MATCH(C322,Dashboard!$A$18:$A$39,0)),""))</f>
        <v/>
      </c>
    </row>
    <row r="323" customFormat="false" ht="15" hidden="false" customHeight="false" outlineLevel="0" collapsed="false">
      <c r="A323" s="24"/>
      <c r="B323" s="25"/>
      <c r="C323" s="25"/>
      <c r="D323" s="25"/>
      <c r="E323" s="6"/>
      <c r="F323" s="26" t="str">
        <f aca="false">IF(A323="","",MONTH(A323))</f>
        <v/>
      </c>
      <c r="G323" s="26" t="str">
        <f aca="false">IF(A323="","",YEAR(A323))</f>
        <v/>
      </c>
      <c r="H323" s="11" t="str">
        <f aca="false">IF(OR(C323="",B323&lt;&gt;"Pengeluaran"),"",IFERROR(INDEX(Dashboard!$B$18:$B$39,MATCH(C323,Dashboard!$A$18:$A$39,0)),""))</f>
        <v/>
      </c>
    </row>
    <row r="324" customFormat="false" ht="15" hidden="false" customHeight="false" outlineLevel="0" collapsed="false">
      <c r="A324" s="24"/>
      <c r="B324" s="25"/>
      <c r="C324" s="25"/>
      <c r="D324" s="25"/>
      <c r="E324" s="6"/>
      <c r="F324" s="26" t="str">
        <f aca="false">IF(A324="","",MONTH(A324))</f>
        <v/>
      </c>
      <c r="G324" s="26" t="str">
        <f aca="false">IF(A324="","",YEAR(A324))</f>
        <v/>
      </c>
      <c r="H324" s="11" t="str">
        <f aca="false">IF(OR(C324="",B324&lt;&gt;"Pengeluaran"),"",IFERROR(INDEX(Dashboard!$B$18:$B$39,MATCH(C324,Dashboard!$A$18:$A$39,0)),""))</f>
        <v/>
      </c>
    </row>
    <row r="325" customFormat="false" ht="15" hidden="false" customHeight="false" outlineLevel="0" collapsed="false">
      <c r="A325" s="24"/>
      <c r="B325" s="25"/>
      <c r="C325" s="25"/>
      <c r="D325" s="25"/>
      <c r="E325" s="6"/>
      <c r="F325" s="26" t="str">
        <f aca="false">IF(A325="","",MONTH(A325))</f>
        <v/>
      </c>
      <c r="G325" s="26" t="str">
        <f aca="false">IF(A325="","",YEAR(A325))</f>
        <v/>
      </c>
      <c r="H325" s="11" t="str">
        <f aca="false">IF(OR(C325="",B325&lt;&gt;"Pengeluaran"),"",IFERROR(INDEX(Dashboard!$B$18:$B$39,MATCH(C325,Dashboard!$A$18:$A$39,0)),""))</f>
        <v/>
      </c>
    </row>
    <row r="326" customFormat="false" ht="15" hidden="false" customHeight="false" outlineLevel="0" collapsed="false">
      <c r="A326" s="24"/>
      <c r="B326" s="25"/>
      <c r="C326" s="25"/>
      <c r="D326" s="25"/>
      <c r="E326" s="6"/>
      <c r="F326" s="26" t="str">
        <f aca="false">IF(A326="","",MONTH(A326))</f>
        <v/>
      </c>
      <c r="G326" s="26" t="str">
        <f aca="false">IF(A326="","",YEAR(A326))</f>
        <v/>
      </c>
      <c r="H326" s="11" t="str">
        <f aca="false">IF(OR(C326="",B326&lt;&gt;"Pengeluaran"),"",IFERROR(INDEX(Dashboard!$B$18:$B$39,MATCH(C326,Dashboard!$A$18:$A$39,0)),""))</f>
        <v/>
      </c>
    </row>
    <row r="327" customFormat="false" ht="15" hidden="false" customHeight="false" outlineLevel="0" collapsed="false">
      <c r="A327" s="24"/>
      <c r="B327" s="25"/>
      <c r="C327" s="25"/>
      <c r="D327" s="25"/>
      <c r="E327" s="6"/>
      <c r="F327" s="26" t="str">
        <f aca="false">IF(A327="","",MONTH(A327))</f>
        <v/>
      </c>
      <c r="G327" s="26" t="str">
        <f aca="false">IF(A327="","",YEAR(A327))</f>
        <v/>
      </c>
      <c r="H327" s="11" t="str">
        <f aca="false">IF(OR(C327="",B327&lt;&gt;"Pengeluaran"),"",IFERROR(INDEX(Dashboard!$B$18:$B$39,MATCH(C327,Dashboard!$A$18:$A$39,0)),""))</f>
        <v/>
      </c>
    </row>
    <row r="328" customFormat="false" ht="15" hidden="false" customHeight="false" outlineLevel="0" collapsed="false">
      <c r="A328" s="24"/>
      <c r="B328" s="25"/>
      <c r="C328" s="25"/>
      <c r="D328" s="25"/>
      <c r="E328" s="6"/>
      <c r="F328" s="26" t="str">
        <f aca="false">IF(A328="","",MONTH(A328))</f>
        <v/>
      </c>
      <c r="G328" s="26" t="str">
        <f aca="false">IF(A328="","",YEAR(A328))</f>
        <v/>
      </c>
      <c r="H328" s="11" t="str">
        <f aca="false">IF(OR(C328="",B328&lt;&gt;"Pengeluaran"),"",IFERROR(INDEX(Dashboard!$B$18:$B$39,MATCH(C328,Dashboard!$A$18:$A$39,0)),""))</f>
        <v/>
      </c>
    </row>
    <row r="329" customFormat="false" ht="15" hidden="false" customHeight="false" outlineLevel="0" collapsed="false">
      <c r="A329" s="24"/>
      <c r="B329" s="25"/>
      <c r="C329" s="25"/>
      <c r="D329" s="25"/>
      <c r="E329" s="6"/>
      <c r="F329" s="26" t="str">
        <f aca="false">IF(A329="","",MONTH(A329))</f>
        <v/>
      </c>
      <c r="G329" s="26" t="str">
        <f aca="false">IF(A329="","",YEAR(A329))</f>
        <v/>
      </c>
      <c r="H329" s="11" t="str">
        <f aca="false">IF(OR(C329="",B329&lt;&gt;"Pengeluaran"),"",IFERROR(INDEX(Dashboard!$B$18:$B$39,MATCH(C329,Dashboard!$A$18:$A$39,0)),""))</f>
        <v/>
      </c>
    </row>
    <row r="330" customFormat="false" ht="15" hidden="false" customHeight="false" outlineLevel="0" collapsed="false">
      <c r="A330" s="24"/>
      <c r="B330" s="25"/>
      <c r="C330" s="25"/>
      <c r="D330" s="25"/>
      <c r="E330" s="6"/>
      <c r="F330" s="26" t="str">
        <f aca="false">IF(A330="","",MONTH(A330))</f>
        <v/>
      </c>
      <c r="G330" s="26" t="str">
        <f aca="false">IF(A330="","",YEAR(A330))</f>
        <v/>
      </c>
      <c r="H330" s="11" t="str">
        <f aca="false">IF(OR(C330="",B330&lt;&gt;"Pengeluaran"),"",IFERROR(INDEX(Dashboard!$B$18:$B$39,MATCH(C330,Dashboard!$A$18:$A$39,0)),""))</f>
        <v/>
      </c>
    </row>
    <row r="331" customFormat="false" ht="15" hidden="false" customHeight="false" outlineLevel="0" collapsed="false">
      <c r="A331" s="24"/>
      <c r="B331" s="25"/>
      <c r="C331" s="25"/>
      <c r="D331" s="25"/>
      <c r="E331" s="6"/>
      <c r="F331" s="26" t="str">
        <f aca="false">IF(A331="","",MONTH(A331))</f>
        <v/>
      </c>
      <c r="G331" s="26" t="str">
        <f aca="false">IF(A331="","",YEAR(A331))</f>
        <v/>
      </c>
      <c r="H331" s="11" t="str">
        <f aca="false">IF(OR(C331="",B331&lt;&gt;"Pengeluaran"),"",IFERROR(INDEX(Dashboard!$B$18:$B$39,MATCH(C331,Dashboard!$A$18:$A$39,0)),""))</f>
        <v/>
      </c>
    </row>
    <row r="332" customFormat="false" ht="15" hidden="false" customHeight="false" outlineLevel="0" collapsed="false">
      <c r="A332" s="24"/>
      <c r="B332" s="25"/>
      <c r="C332" s="25"/>
      <c r="D332" s="25"/>
      <c r="E332" s="6"/>
      <c r="F332" s="26" t="str">
        <f aca="false">IF(A332="","",MONTH(A332))</f>
        <v/>
      </c>
      <c r="G332" s="26" t="str">
        <f aca="false">IF(A332="","",YEAR(A332))</f>
        <v/>
      </c>
      <c r="H332" s="11" t="str">
        <f aca="false">IF(OR(C332="",B332&lt;&gt;"Pengeluaran"),"",IFERROR(INDEX(Dashboard!$B$18:$B$39,MATCH(C332,Dashboard!$A$18:$A$39,0)),""))</f>
        <v/>
      </c>
    </row>
    <row r="333" customFormat="false" ht="15" hidden="false" customHeight="false" outlineLevel="0" collapsed="false">
      <c r="A333" s="24"/>
      <c r="B333" s="25"/>
      <c r="C333" s="25"/>
      <c r="D333" s="25"/>
      <c r="E333" s="6"/>
      <c r="F333" s="26" t="str">
        <f aca="false">IF(A333="","",MONTH(A333))</f>
        <v/>
      </c>
      <c r="G333" s="26" t="str">
        <f aca="false">IF(A333="","",YEAR(A333))</f>
        <v/>
      </c>
      <c r="H333" s="11" t="str">
        <f aca="false">IF(OR(C333="",B333&lt;&gt;"Pengeluaran"),"",IFERROR(INDEX(Dashboard!$B$18:$B$39,MATCH(C333,Dashboard!$A$18:$A$39,0)),""))</f>
        <v/>
      </c>
    </row>
    <row r="334" customFormat="false" ht="15" hidden="false" customHeight="false" outlineLevel="0" collapsed="false">
      <c r="A334" s="24"/>
      <c r="B334" s="25"/>
      <c r="C334" s="25"/>
      <c r="D334" s="25"/>
      <c r="E334" s="6"/>
      <c r="F334" s="26" t="str">
        <f aca="false">IF(A334="","",MONTH(A334))</f>
        <v/>
      </c>
      <c r="G334" s="26" t="str">
        <f aca="false">IF(A334="","",YEAR(A334))</f>
        <v/>
      </c>
      <c r="H334" s="11" t="str">
        <f aca="false">IF(OR(C334="",B334&lt;&gt;"Pengeluaran"),"",IFERROR(INDEX(Dashboard!$B$18:$B$39,MATCH(C334,Dashboard!$A$18:$A$39,0)),""))</f>
        <v/>
      </c>
    </row>
    <row r="335" customFormat="false" ht="15" hidden="false" customHeight="false" outlineLevel="0" collapsed="false">
      <c r="A335" s="24"/>
      <c r="B335" s="25"/>
      <c r="C335" s="25"/>
      <c r="D335" s="25"/>
      <c r="E335" s="6"/>
      <c r="F335" s="26" t="str">
        <f aca="false">IF(A335="","",MONTH(A335))</f>
        <v/>
      </c>
      <c r="G335" s="26" t="str">
        <f aca="false">IF(A335="","",YEAR(A335))</f>
        <v/>
      </c>
      <c r="H335" s="11" t="str">
        <f aca="false">IF(OR(C335="",B335&lt;&gt;"Pengeluaran"),"",IFERROR(INDEX(Dashboard!$B$18:$B$39,MATCH(C335,Dashboard!$A$18:$A$39,0)),""))</f>
        <v/>
      </c>
    </row>
    <row r="336" customFormat="false" ht="15" hidden="false" customHeight="false" outlineLevel="0" collapsed="false">
      <c r="A336" s="24"/>
      <c r="B336" s="25"/>
      <c r="C336" s="25"/>
      <c r="D336" s="25"/>
      <c r="E336" s="6"/>
      <c r="F336" s="26" t="str">
        <f aca="false">IF(A336="","",MONTH(A336))</f>
        <v/>
      </c>
      <c r="G336" s="26" t="str">
        <f aca="false">IF(A336="","",YEAR(A336))</f>
        <v/>
      </c>
      <c r="H336" s="11" t="str">
        <f aca="false">IF(OR(C336="",B336&lt;&gt;"Pengeluaran"),"",IFERROR(INDEX(Dashboard!$B$18:$B$39,MATCH(C336,Dashboard!$A$18:$A$39,0)),""))</f>
        <v/>
      </c>
    </row>
    <row r="337" customFormat="false" ht="15" hidden="false" customHeight="false" outlineLevel="0" collapsed="false">
      <c r="A337" s="24"/>
      <c r="B337" s="25"/>
      <c r="C337" s="25"/>
      <c r="D337" s="25"/>
      <c r="E337" s="6"/>
      <c r="F337" s="26" t="str">
        <f aca="false">IF(A337="","",MONTH(A337))</f>
        <v/>
      </c>
      <c r="G337" s="26" t="str">
        <f aca="false">IF(A337="","",YEAR(A337))</f>
        <v/>
      </c>
      <c r="H337" s="11" t="str">
        <f aca="false">IF(OR(C337="",B337&lt;&gt;"Pengeluaran"),"",IFERROR(INDEX(Dashboard!$B$18:$B$39,MATCH(C337,Dashboard!$A$18:$A$39,0)),""))</f>
        <v/>
      </c>
    </row>
    <row r="338" customFormat="false" ht="15" hidden="false" customHeight="false" outlineLevel="0" collapsed="false">
      <c r="A338" s="24"/>
      <c r="B338" s="25"/>
      <c r="C338" s="25"/>
      <c r="D338" s="25"/>
      <c r="E338" s="6"/>
      <c r="F338" s="26" t="str">
        <f aca="false">IF(A338="","",MONTH(A338))</f>
        <v/>
      </c>
      <c r="G338" s="26" t="str">
        <f aca="false">IF(A338="","",YEAR(A338))</f>
        <v/>
      </c>
      <c r="H338" s="11" t="str">
        <f aca="false">IF(OR(C338="",B338&lt;&gt;"Pengeluaran"),"",IFERROR(INDEX(Dashboard!$B$18:$B$39,MATCH(C338,Dashboard!$A$18:$A$39,0)),""))</f>
        <v/>
      </c>
    </row>
    <row r="339" customFormat="false" ht="15" hidden="false" customHeight="false" outlineLevel="0" collapsed="false">
      <c r="A339" s="24"/>
      <c r="B339" s="25"/>
      <c r="C339" s="25"/>
      <c r="D339" s="25"/>
      <c r="E339" s="6"/>
      <c r="F339" s="26" t="str">
        <f aca="false">IF(A339="","",MONTH(A339))</f>
        <v/>
      </c>
      <c r="G339" s="26" t="str">
        <f aca="false">IF(A339="","",YEAR(A339))</f>
        <v/>
      </c>
      <c r="H339" s="11" t="str">
        <f aca="false">IF(OR(C339="",B339&lt;&gt;"Pengeluaran"),"",IFERROR(INDEX(Dashboard!$B$18:$B$39,MATCH(C339,Dashboard!$A$18:$A$39,0)),""))</f>
        <v/>
      </c>
    </row>
    <row r="340" customFormat="false" ht="15" hidden="false" customHeight="false" outlineLevel="0" collapsed="false">
      <c r="A340" s="24"/>
      <c r="B340" s="25"/>
      <c r="C340" s="25"/>
      <c r="D340" s="25"/>
      <c r="E340" s="6"/>
      <c r="F340" s="26" t="str">
        <f aca="false">IF(A340="","",MONTH(A340))</f>
        <v/>
      </c>
      <c r="G340" s="26" t="str">
        <f aca="false">IF(A340="","",YEAR(A340))</f>
        <v/>
      </c>
      <c r="H340" s="11" t="str">
        <f aca="false">IF(OR(C340="",B340&lt;&gt;"Pengeluaran"),"",IFERROR(INDEX(Dashboard!$B$18:$B$39,MATCH(C340,Dashboard!$A$18:$A$39,0)),""))</f>
        <v/>
      </c>
    </row>
    <row r="341" customFormat="false" ht="15" hidden="false" customHeight="false" outlineLevel="0" collapsed="false">
      <c r="A341" s="24"/>
      <c r="B341" s="25"/>
      <c r="C341" s="25"/>
      <c r="D341" s="25"/>
      <c r="E341" s="6"/>
      <c r="F341" s="26" t="str">
        <f aca="false">IF(A341="","",MONTH(A341))</f>
        <v/>
      </c>
      <c r="G341" s="26" t="str">
        <f aca="false">IF(A341="","",YEAR(A341))</f>
        <v/>
      </c>
      <c r="H341" s="11" t="str">
        <f aca="false">IF(OR(C341="",B341&lt;&gt;"Pengeluaran"),"",IFERROR(INDEX(Dashboard!$B$18:$B$39,MATCH(C341,Dashboard!$A$18:$A$39,0)),""))</f>
        <v/>
      </c>
    </row>
    <row r="342" customFormat="false" ht="15" hidden="false" customHeight="false" outlineLevel="0" collapsed="false">
      <c r="A342" s="24"/>
      <c r="B342" s="25"/>
      <c r="C342" s="25"/>
      <c r="D342" s="25"/>
      <c r="E342" s="6"/>
      <c r="F342" s="26" t="str">
        <f aca="false">IF(A342="","",MONTH(A342))</f>
        <v/>
      </c>
      <c r="G342" s="26" t="str">
        <f aca="false">IF(A342="","",YEAR(A342))</f>
        <v/>
      </c>
      <c r="H342" s="11" t="str">
        <f aca="false">IF(OR(C342="",B342&lt;&gt;"Pengeluaran"),"",IFERROR(INDEX(Dashboard!$B$18:$B$39,MATCH(C342,Dashboard!$A$18:$A$39,0)),""))</f>
        <v/>
      </c>
    </row>
    <row r="343" customFormat="false" ht="15" hidden="false" customHeight="false" outlineLevel="0" collapsed="false">
      <c r="A343" s="24"/>
      <c r="B343" s="25"/>
      <c r="C343" s="25"/>
      <c r="D343" s="25"/>
      <c r="E343" s="6"/>
      <c r="F343" s="26" t="str">
        <f aca="false">IF(A343="","",MONTH(A343))</f>
        <v/>
      </c>
      <c r="G343" s="26" t="str">
        <f aca="false">IF(A343="","",YEAR(A343))</f>
        <v/>
      </c>
      <c r="H343" s="11" t="str">
        <f aca="false">IF(OR(C343="",B343&lt;&gt;"Pengeluaran"),"",IFERROR(INDEX(Dashboard!$B$18:$B$39,MATCH(C343,Dashboard!$A$18:$A$39,0)),""))</f>
        <v/>
      </c>
    </row>
    <row r="344" customFormat="false" ht="15" hidden="false" customHeight="false" outlineLevel="0" collapsed="false">
      <c r="A344" s="24"/>
      <c r="B344" s="25"/>
      <c r="C344" s="25"/>
      <c r="D344" s="25"/>
      <c r="E344" s="6"/>
      <c r="F344" s="26" t="str">
        <f aca="false">IF(A344="","",MONTH(A344))</f>
        <v/>
      </c>
      <c r="G344" s="26" t="str">
        <f aca="false">IF(A344="","",YEAR(A344))</f>
        <v/>
      </c>
      <c r="H344" s="11" t="str">
        <f aca="false">IF(OR(C344="",B344&lt;&gt;"Pengeluaran"),"",IFERROR(INDEX(Dashboard!$B$18:$B$39,MATCH(C344,Dashboard!$A$18:$A$39,0)),""))</f>
        <v/>
      </c>
    </row>
    <row r="345" customFormat="false" ht="15" hidden="false" customHeight="false" outlineLevel="0" collapsed="false">
      <c r="A345" s="24"/>
      <c r="B345" s="25"/>
      <c r="C345" s="25"/>
      <c r="D345" s="25"/>
      <c r="E345" s="6"/>
      <c r="F345" s="26" t="str">
        <f aca="false">IF(A345="","",MONTH(A345))</f>
        <v/>
      </c>
      <c r="G345" s="26" t="str">
        <f aca="false">IF(A345="","",YEAR(A345))</f>
        <v/>
      </c>
      <c r="H345" s="11" t="str">
        <f aca="false">IF(OR(C345="",B345&lt;&gt;"Pengeluaran"),"",IFERROR(INDEX(Dashboard!$B$18:$B$39,MATCH(C345,Dashboard!$A$18:$A$39,0)),""))</f>
        <v/>
      </c>
    </row>
    <row r="346" customFormat="false" ht="15" hidden="false" customHeight="false" outlineLevel="0" collapsed="false">
      <c r="A346" s="24"/>
      <c r="B346" s="25"/>
      <c r="C346" s="25"/>
      <c r="D346" s="25"/>
      <c r="E346" s="6"/>
      <c r="F346" s="26" t="str">
        <f aca="false">IF(A346="","",MONTH(A346))</f>
        <v/>
      </c>
      <c r="G346" s="26" t="str">
        <f aca="false">IF(A346="","",YEAR(A346))</f>
        <v/>
      </c>
      <c r="H346" s="11" t="str">
        <f aca="false">IF(OR(C346="",B346&lt;&gt;"Pengeluaran"),"",IFERROR(INDEX(Dashboard!$B$18:$B$39,MATCH(C346,Dashboard!$A$18:$A$39,0)),""))</f>
        <v/>
      </c>
    </row>
    <row r="347" customFormat="false" ht="15" hidden="false" customHeight="false" outlineLevel="0" collapsed="false">
      <c r="A347" s="24"/>
      <c r="B347" s="25"/>
      <c r="C347" s="25"/>
      <c r="D347" s="25"/>
      <c r="E347" s="6"/>
      <c r="F347" s="26" t="str">
        <f aca="false">IF(A347="","",MONTH(A347))</f>
        <v/>
      </c>
      <c r="G347" s="26" t="str">
        <f aca="false">IF(A347="","",YEAR(A347))</f>
        <v/>
      </c>
      <c r="H347" s="11" t="str">
        <f aca="false">IF(OR(C347="",B347&lt;&gt;"Pengeluaran"),"",IFERROR(INDEX(Dashboard!$B$18:$B$39,MATCH(C347,Dashboard!$A$18:$A$39,0)),""))</f>
        <v/>
      </c>
    </row>
    <row r="348" customFormat="false" ht="15" hidden="false" customHeight="false" outlineLevel="0" collapsed="false">
      <c r="A348" s="24"/>
      <c r="B348" s="25"/>
      <c r="C348" s="25"/>
      <c r="D348" s="25"/>
      <c r="E348" s="6"/>
      <c r="F348" s="26" t="str">
        <f aca="false">IF(A348="","",MONTH(A348))</f>
        <v/>
      </c>
      <c r="G348" s="26" t="str">
        <f aca="false">IF(A348="","",YEAR(A348))</f>
        <v/>
      </c>
      <c r="H348" s="11" t="str">
        <f aca="false">IF(OR(C348="",B348&lt;&gt;"Pengeluaran"),"",IFERROR(INDEX(Dashboard!$B$18:$B$39,MATCH(C348,Dashboard!$A$18:$A$39,0)),""))</f>
        <v/>
      </c>
    </row>
    <row r="349" customFormat="false" ht="15" hidden="false" customHeight="false" outlineLevel="0" collapsed="false">
      <c r="A349" s="24"/>
      <c r="B349" s="25"/>
      <c r="C349" s="25"/>
      <c r="D349" s="25"/>
      <c r="E349" s="6"/>
      <c r="F349" s="26" t="str">
        <f aca="false">IF(A349="","",MONTH(A349))</f>
        <v/>
      </c>
      <c r="G349" s="26" t="str">
        <f aca="false">IF(A349="","",YEAR(A349))</f>
        <v/>
      </c>
      <c r="H349" s="11" t="str">
        <f aca="false">IF(OR(C349="",B349&lt;&gt;"Pengeluaran"),"",IFERROR(INDEX(Dashboard!$B$18:$B$39,MATCH(C349,Dashboard!$A$18:$A$39,0)),""))</f>
        <v/>
      </c>
    </row>
    <row r="350" customFormat="false" ht="15" hidden="false" customHeight="false" outlineLevel="0" collapsed="false">
      <c r="A350" s="24"/>
      <c r="B350" s="25"/>
      <c r="C350" s="25"/>
      <c r="D350" s="25"/>
      <c r="E350" s="6"/>
      <c r="F350" s="26" t="str">
        <f aca="false">IF(A350="","",MONTH(A350))</f>
        <v/>
      </c>
      <c r="G350" s="26" t="str">
        <f aca="false">IF(A350="","",YEAR(A350))</f>
        <v/>
      </c>
      <c r="H350" s="11" t="str">
        <f aca="false">IF(OR(C350="",B350&lt;&gt;"Pengeluaran"),"",IFERROR(INDEX(Dashboard!$B$18:$B$39,MATCH(C350,Dashboard!$A$18:$A$39,0)),""))</f>
        <v/>
      </c>
    </row>
    <row r="351" customFormat="false" ht="15" hidden="false" customHeight="false" outlineLevel="0" collapsed="false">
      <c r="A351" s="24"/>
      <c r="B351" s="25"/>
      <c r="C351" s="25"/>
      <c r="D351" s="25"/>
      <c r="E351" s="6"/>
      <c r="F351" s="26" t="str">
        <f aca="false">IF(A351="","",MONTH(A351))</f>
        <v/>
      </c>
      <c r="G351" s="26" t="str">
        <f aca="false">IF(A351="","",YEAR(A351))</f>
        <v/>
      </c>
      <c r="H351" s="11" t="str">
        <f aca="false">IF(OR(C351="",B351&lt;&gt;"Pengeluaran"),"",IFERROR(INDEX(Dashboard!$B$18:$B$39,MATCH(C351,Dashboard!$A$18:$A$39,0)),""))</f>
        <v/>
      </c>
    </row>
    <row r="352" customFormat="false" ht="15" hidden="false" customHeight="false" outlineLevel="0" collapsed="false">
      <c r="A352" s="24"/>
      <c r="B352" s="25"/>
      <c r="C352" s="25"/>
      <c r="D352" s="25"/>
      <c r="E352" s="6"/>
      <c r="F352" s="26" t="str">
        <f aca="false">IF(A352="","",MONTH(A352))</f>
        <v/>
      </c>
      <c r="G352" s="26" t="str">
        <f aca="false">IF(A352="","",YEAR(A352))</f>
        <v/>
      </c>
      <c r="H352" s="11" t="str">
        <f aca="false">IF(OR(C352="",B352&lt;&gt;"Pengeluaran"),"",IFERROR(INDEX(Dashboard!$B$18:$B$39,MATCH(C352,Dashboard!$A$18:$A$39,0)),""))</f>
        <v/>
      </c>
    </row>
    <row r="353" customFormat="false" ht="15" hidden="false" customHeight="false" outlineLevel="0" collapsed="false">
      <c r="A353" s="24"/>
      <c r="B353" s="25"/>
      <c r="C353" s="25"/>
      <c r="D353" s="25"/>
      <c r="E353" s="6"/>
      <c r="F353" s="26" t="str">
        <f aca="false">IF(A353="","",MONTH(A353))</f>
        <v/>
      </c>
      <c r="G353" s="26" t="str">
        <f aca="false">IF(A353="","",YEAR(A353))</f>
        <v/>
      </c>
      <c r="H353" s="11" t="str">
        <f aca="false">IF(OR(C353="",B353&lt;&gt;"Pengeluaran"),"",IFERROR(INDEX(Dashboard!$B$18:$B$39,MATCH(C353,Dashboard!$A$18:$A$39,0)),""))</f>
        <v/>
      </c>
    </row>
    <row r="354" customFormat="false" ht="15" hidden="false" customHeight="false" outlineLevel="0" collapsed="false">
      <c r="A354" s="24"/>
      <c r="B354" s="25"/>
      <c r="C354" s="25"/>
      <c r="D354" s="25"/>
      <c r="E354" s="6"/>
      <c r="F354" s="26" t="str">
        <f aca="false">IF(A354="","",MONTH(A354))</f>
        <v/>
      </c>
      <c r="G354" s="26" t="str">
        <f aca="false">IF(A354="","",YEAR(A354))</f>
        <v/>
      </c>
      <c r="H354" s="11" t="str">
        <f aca="false">IF(OR(C354="",B354&lt;&gt;"Pengeluaran"),"",IFERROR(INDEX(Dashboard!$B$18:$B$39,MATCH(C354,Dashboard!$A$18:$A$39,0)),""))</f>
        <v/>
      </c>
    </row>
    <row r="355" customFormat="false" ht="15" hidden="false" customHeight="false" outlineLevel="0" collapsed="false">
      <c r="A355" s="24"/>
      <c r="B355" s="25"/>
      <c r="C355" s="25"/>
      <c r="D355" s="25"/>
      <c r="E355" s="6"/>
      <c r="F355" s="26" t="str">
        <f aca="false">IF(A355="","",MONTH(A355))</f>
        <v/>
      </c>
      <c r="G355" s="26" t="str">
        <f aca="false">IF(A355="","",YEAR(A355))</f>
        <v/>
      </c>
      <c r="H355" s="11" t="str">
        <f aca="false">IF(OR(C355="",B355&lt;&gt;"Pengeluaran"),"",IFERROR(INDEX(Dashboard!$B$18:$B$39,MATCH(C355,Dashboard!$A$18:$A$39,0)),""))</f>
        <v/>
      </c>
    </row>
    <row r="356" customFormat="false" ht="15" hidden="false" customHeight="false" outlineLevel="0" collapsed="false">
      <c r="A356" s="24"/>
      <c r="B356" s="25"/>
      <c r="C356" s="25"/>
      <c r="D356" s="25"/>
      <c r="E356" s="6"/>
      <c r="F356" s="26" t="str">
        <f aca="false">IF(A356="","",MONTH(A356))</f>
        <v/>
      </c>
      <c r="G356" s="26" t="str">
        <f aca="false">IF(A356="","",YEAR(A356))</f>
        <v/>
      </c>
      <c r="H356" s="11" t="str">
        <f aca="false">IF(OR(C356="",B356&lt;&gt;"Pengeluaran"),"",IFERROR(INDEX(Dashboard!$B$18:$B$39,MATCH(C356,Dashboard!$A$18:$A$39,0)),""))</f>
        <v/>
      </c>
    </row>
    <row r="357" customFormat="false" ht="15" hidden="false" customHeight="false" outlineLevel="0" collapsed="false">
      <c r="A357" s="24"/>
      <c r="B357" s="25"/>
      <c r="C357" s="25"/>
      <c r="D357" s="25"/>
      <c r="E357" s="6"/>
      <c r="F357" s="26" t="str">
        <f aca="false">IF(A357="","",MONTH(A357))</f>
        <v/>
      </c>
      <c r="G357" s="26" t="str">
        <f aca="false">IF(A357="","",YEAR(A357))</f>
        <v/>
      </c>
      <c r="H357" s="11" t="str">
        <f aca="false">IF(OR(C357="",B357&lt;&gt;"Pengeluaran"),"",IFERROR(INDEX(Dashboard!$B$18:$B$39,MATCH(C357,Dashboard!$A$18:$A$39,0)),""))</f>
        <v/>
      </c>
    </row>
    <row r="358" customFormat="false" ht="15" hidden="false" customHeight="false" outlineLevel="0" collapsed="false">
      <c r="A358" s="24"/>
      <c r="B358" s="25"/>
      <c r="C358" s="25"/>
      <c r="D358" s="25"/>
      <c r="E358" s="6"/>
      <c r="F358" s="26" t="str">
        <f aca="false">IF(A358="","",MONTH(A358))</f>
        <v/>
      </c>
      <c r="G358" s="26" t="str">
        <f aca="false">IF(A358="","",YEAR(A358))</f>
        <v/>
      </c>
      <c r="H358" s="11" t="str">
        <f aca="false">IF(OR(C358="",B358&lt;&gt;"Pengeluaran"),"",IFERROR(INDEX(Dashboard!$B$18:$B$39,MATCH(C358,Dashboard!$A$18:$A$39,0)),""))</f>
        <v/>
      </c>
    </row>
    <row r="359" customFormat="false" ht="15" hidden="false" customHeight="false" outlineLevel="0" collapsed="false">
      <c r="A359" s="24"/>
      <c r="B359" s="25"/>
      <c r="C359" s="25"/>
      <c r="D359" s="25"/>
      <c r="E359" s="6"/>
      <c r="F359" s="26" t="str">
        <f aca="false">IF(A359="","",MONTH(A359))</f>
        <v/>
      </c>
      <c r="G359" s="26" t="str">
        <f aca="false">IF(A359="","",YEAR(A359))</f>
        <v/>
      </c>
      <c r="H359" s="11" t="str">
        <f aca="false">IF(OR(C359="",B359&lt;&gt;"Pengeluaran"),"",IFERROR(INDEX(Dashboard!$B$18:$B$39,MATCH(C359,Dashboard!$A$18:$A$39,0)),""))</f>
        <v/>
      </c>
    </row>
    <row r="360" customFormat="false" ht="15" hidden="false" customHeight="false" outlineLevel="0" collapsed="false">
      <c r="A360" s="24"/>
      <c r="B360" s="25"/>
      <c r="C360" s="25"/>
      <c r="D360" s="25"/>
      <c r="E360" s="6"/>
      <c r="F360" s="26" t="str">
        <f aca="false">IF(A360="","",MONTH(A360))</f>
        <v/>
      </c>
      <c r="G360" s="26" t="str">
        <f aca="false">IF(A360="","",YEAR(A360))</f>
        <v/>
      </c>
      <c r="H360" s="11" t="str">
        <f aca="false">IF(OR(C360="",B360&lt;&gt;"Pengeluaran"),"",IFERROR(INDEX(Dashboard!$B$18:$B$39,MATCH(C360,Dashboard!$A$18:$A$39,0)),""))</f>
        <v/>
      </c>
    </row>
    <row r="361" customFormat="false" ht="15" hidden="false" customHeight="false" outlineLevel="0" collapsed="false">
      <c r="A361" s="24"/>
      <c r="B361" s="25"/>
      <c r="C361" s="25"/>
      <c r="D361" s="25"/>
      <c r="E361" s="6"/>
      <c r="F361" s="26" t="str">
        <f aca="false">IF(A361="","",MONTH(A361))</f>
        <v/>
      </c>
      <c r="G361" s="26" t="str">
        <f aca="false">IF(A361="","",YEAR(A361))</f>
        <v/>
      </c>
      <c r="H361" s="11" t="str">
        <f aca="false">IF(OR(C361="",B361&lt;&gt;"Pengeluaran"),"",IFERROR(INDEX(Dashboard!$B$18:$B$39,MATCH(C361,Dashboard!$A$18:$A$39,0)),""))</f>
        <v/>
      </c>
    </row>
    <row r="362" customFormat="false" ht="15" hidden="false" customHeight="false" outlineLevel="0" collapsed="false">
      <c r="A362" s="24"/>
      <c r="B362" s="25"/>
      <c r="C362" s="25"/>
      <c r="D362" s="25"/>
      <c r="E362" s="6"/>
      <c r="F362" s="26" t="str">
        <f aca="false">IF(A362="","",MONTH(A362))</f>
        <v/>
      </c>
      <c r="G362" s="26" t="str">
        <f aca="false">IF(A362="","",YEAR(A362))</f>
        <v/>
      </c>
      <c r="H362" s="11" t="str">
        <f aca="false">IF(OR(C362="",B362&lt;&gt;"Pengeluaran"),"",IFERROR(INDEX(Dashboard!$B$18:$B$39,MATCH(C362,Dashboard!$A$18:$A$39,0)),""))</f>
        <v/>
      </c>
    </row>
    <row r="363" customFormat="false" ht="15" hidden="false" customHeight="false" outlineLevel="0" collapsed="false">
      <c r="A363" s="24"/>
      <c r="B363" s="25"/>
      <c r="C363" s="25"/>
      <c r="D363" s="25"/>
      <c r="E363" s="6"/>
      <c r="F363" s="26" t="str">
        <f aca="false">IF(A363="","",MONTH(A363))</f>
        <v/>
      </c>
      <c r="G363" s="26" t="str">
        <f aca="false">IF(A363="","",YEAR(A363))</f>
        <v/>
      </c>
      <c r="H363" s="11" t="str">
        <f aca="false">IF(OR(C363="",B363&lt;&gt;"Pengeluaran"),"",IFERROR(INDEX(Dashboard!$B$18:$B$39,MATCH(C363,Dashboard!$A$18:$A$39,0)),""))</f>
        <v/>
      </c>
    </row>
    <row r="364" customFormat="false" ht="15" hidden="false" customHeight="false" outlineLevel="0" collapsed="false">
      <c r="A364" s="24"/>
      <c r="B364" s="25"/>
      <c r="C364" s="25"/>
      <c r="D364" s="25"/>
      <c r="E364" s="6"/>
      <c r="F364" s="26" t="str">
        <f aca="false">IF(A364="","",MONTH(A364))</f>
        <v/>
      </c>
      <c r="G364" s="26" t="str">
        <f aca="false">IF(A364="","",YEAR(A364))</f>
        <v/>
      </c>
      <c r="H364" s="11" t="str">
        <f aca="false">IF(OR(C364="",B364&lt;&gt;"Pengeluaran"),"",IFERROR(INDEX(Dashboard!$B$18:$B$39,MATCH(C364,Dashboard!$A$18:$A$39,0)),""))</f>
        <v/>
      </c>
    </row>
    <row r="365" customFormat="false" ht="15" hidden="false" customHeight="false" outlineLevel="0" collapsed="false">
      <c r="A365" s="24"/>
      <c r="B365" s="25"/>
      <c r="C365" s="25"/>
      <c r="D365" s="25"/>
      <c r="E365" s="6"/>
      <c r="F365" s="26" t="str">
        <f aca="false">IF(A365="","",MONTH(A365))</f>
        <v/>
      </c>
      <c r="G365" s="26" t="str">
        <f aca="false">IF(A365="","",YEAR(A365))</f>
        <v/>
      </c>
      <c r="H365" s="11" t="str">
        <f aca="false">IF(OR(C365="",B365&lt;&gt;"Pengeluaran"),"",IFERROR(INDEX(Dashboard!$B$18:$B$39,MATCH(C365,Dashboard!$A$18:$A$39,0)),""))</f>
        <v/>
      </c>
    </row>
    <row r="366" customFormat="false" ht="15" hidden="false" customHeight="false" outlineLevel="0" collapsed="false">
      <c r="A366" s="24"/>
      <c r="B366" s="25"/>
      <c r="C366" s="25"/>
      <c r="D366" s="25"/>
      <c r="E366" s="6"/>
      <c r="F366" s="26" t="str">
        <f aca="false">IF(A366="","",MONTH(A366))</f>
        <v/>
      </c>
      <c r="G366" s="26" t="str">
        <f aca="false">IF(A366="","",YEAR(A366))</f>
        <v/>
      </c>
      <c r="H366" s="11" t="str">
        <f aca="false">IF(OR(C366="",B366&lt;&gt;"Pengeluaran"),"",IFERROR(INDEX(Dashboard!$B$18:$B$39,MATCH(C366,Dashboard!$A$18:$A$39,0)),""))</f>
        <v/>
      </c>
    </row>
    <row r="367" customFormat="false" ht="15" hidden="false" customHeight="false" outlineLevel="0" collapsed="false">
      <c r="A367" s="24"/>
      <c r="B367" s="25"/>
      <c r="C367" s="25"/>
      <c r="D367" s="25"/>
      <c r="E367" s="6"/>
      <c r="F367" s="26" t="str">
        <f aca="false">IF(A367="","",MONTH(A367))</f>
        <v/>
      </c>
      <c r="G367" s="26" t="str">
        <f aca="false">IF(A367="","",YEAR(A367))</f>
        <v/>
      </c>
      <c r="H367" s="11" t="str">
        <f aca="false">IF(OR(C367="",B367&lt;&gt;"Pengeluaran"),"",IFERROR(INDEX(Dashboard!$B$18:$B$39,MATCH(C367,Dashboard!$A$18:$A$39,0)),""))</f>
        <v/>
      </c>
    </row>
    <row r="368" customFormat="false" ht="15" hidden="false" customHeight="false" outlineLevel="0" collapsed="false">
      <c r="A368" s="24"/>
      <c r="B368" s="25"/>
      <c r="C368" s="25"/>
      <c r="D368" s="25"/>
      <c r="E368" s="6"/>
      <c r="F368" s="26" t="str">
        <f aca="false">IF(A368="","",MONTH(A368))</f>
        <v/>
      </c>
      <c r="G368" s="26" t="str">
        <f aca="false">IF(A368="","",YEAR(A368))</f>
        <v/>
      </c>
      <c r="H368" s="11" t="str">
        <f aca="false">IF(OR(C368="",B368&lt;&gt;"Pengeluaran"),"",IFERROR(INDEX(Dashboard!$B$18:$B$39,MATCH(C368,Dashboard!$A$18:$A$39,0)),""))</f>
        <v/>
      </c>
    </row>
    <row r="369" customFormat="false" ht="15" hidden="false" customHeight="false" outlineLevel="0" collapsed="false">
      <c r="A369" s="24"/>
      <c r="B369" s="25"/>
      <c r="C369" s="25"/>
      <c r="D369" s="25"/>
      <c r="E369" s="6"/>
      <c r="F369" s="26" t="str">
        <f aca="false">IF(A369="","",MONTH(A369))</f>
        <v/>
      </c>
      <c r="G369" s="26" t="str">
        <f aca="false">IF(A369="","",YEAR(A369))</f>
        <v/>
      </c>
      <c r="H369" s="11" t="str">
        <f aca="false">IF(OR(C369="",B369&lt;&gt;"Pengeluaran"),"",IFERROR(INDEX(Dashboard!$B$18:$B$39,MATCH(C369,Dashboard!$A$18:$A$39,0)),""))</f>
        <v/>
      </c>
    </row>
    <row r="370" customFormat="false" ht="15" hidden="false" customHeight="false" outlineLevel="0" collapsed="false">
      <c r="A370" s="24"/>
      <c r="B370" s="25"/>
      <c r="C370" s="25"/>
      <c r="D370" s="25"/>
      <c r="E370" s="6"/>
      <c r="F370" s="26" t="str">
        <f aca="false">IF(A370="","",MONTH(A370))</f>
        <v/>
      </c>
      <c r="G370" s="26" t="str">
        <f aca="false">IF(A370="","",YEAR(A370))</f>
        <v/>
      </c>
      <c r="H370" s="11" t="str">
        <f aca="false">IF(OR(C370="",B370&lt;&gt;"Pengeluaran"),"",IFERROR(INDEX(Dashboard!$B$18:$B$39,MATCH(C370,Dashboard!$A$18:$A$39,0)),""))</f>
        <v/>
      </c>
    </row>
    <row r="371" customFormat="false" ht="15" hidden="false" customHeight="false" outlineLevel="0" collapsed="false">
      <c r="A371" s="24"/>
      <c r="B371" s="25"/>
      <c r="C371" s="25"/>
      <c r="D371" s="25"/>
      <c r="E371" s="6"/>
      <c r="F371" s="26" t="str">
        <f aca="false">IF(A371="","",MONTH(A371))</f>
        <v/>
      </c>
      <c r="G371" s="26" t="str">
        <f aca="false">IF(A371="","",YEAR(A371))</f>
        <v/>
      </c>
      <c r="H371" s="11" t="str">
        <f aca="false">IF(OR(C371="",B371&lt;&gt;"Pengeluaran"),"",IFERROR(INDEX(Dashboard!$B$18:$B$39,MATCH(C371,Dashboard!$A$18:$A$39,0)),""))</f>
        <v/>
      </c>
    </row>
    <row r="372" customFormat="false" ht="15" hidden="false" customHeight="false" outlineLevel="0" collapsed="false">
      <c r="A372" s="24"/>
      <c r="B372" s="25"/>
      <c r="C372" s="25"/>
      <c r="D372" s="25"/>
      <c r="E372" s="6"/>
      <c r="F372" s="26" t="str">
        <f aca="false">IF(A372="","",MONTH(A372))</f>
        <v/>
      </c>
      <c r="G372" s="26" t="str">
        <f aca="false">IF(A372="","",YEAR(A372))</f>
        <v/>
      </c>
      <c r="H372" s="11" t="str">
        <f aca="false">IF(OR(C372="",B372&lt;&gt;"Pengeluaran"),"",IFERROR(INDEX(Dashboard!$B$18:$B$39,MATCH(C372,Dashboard!$A$18:$A$39,0)),""))</f>
        <v/>
      </c>
    </row>
    <row r="373" customFormat="false" ht="15" hidden="false" customHeight="false" outlineLevel="0" collapsed="false">
      <c r="A373" s="24"/>
      <c r="B373" s="25"/>
      <c r="C373" s="25"/>
      <c r="D373" s="25"/>
      <c r="E373" s="6"/>
      <c r="F373" s="26" t="str">
        <f aca="false">IF(A373="","",MONTH(A373))</f>
        <v/>
      </c>
      <c r="G373" s="26" t="str">
        <f aca="false">IF(A373="","",YEAR(A373))</f>
        <v/>
      </c>
      <c r="H373" s="11" t="str">
        <f aca="false">IF(OR(C373="",B373&lt;&gt;"Pengeluaran"),"",IFERROR(INDEX(Dashboard!$B$18:$B$39,MATCH(C373,Dashboard!$A$18:$A$39,0)),""))</f>
        <v/>
      </c>
    </row>
    <row r="374" customFormat="false" ht="15" hidden="false" customHeight="false" outlineLevel="0" collapsed="false">
      <c r="A374" s="24"/>
      <c r="B374" s="25"/>
      <c r="C374" s="25"/>
      <c r="D374" s="25"/>
      <c r="E374" s="6"/>
      <c r="F374" s="26" t="str">
        <f aca="false">IF(A374="","",MONTH(A374))</f>
        <v/>
      </c>
      <c r="G374" s="26" t="str">
        <f aca="false">IF(A374="","",YEAR(A374))</f>
        <v/>
      </c>
      <c r="H374" s="11" t="str">
        <f aca="false">IF(OR(C374="",B374&lt;&gt;"Pengeluaran"),"",IFERROR(INDEX(Dashboard!$B$18:$B$39,MATCH(C374,Dashboard!$A$18:$A$39,0)),""))</f>
        <v/>
      </c>
    </row>
    <row r="375" customFormat="false" ht="15" hidden="false" customHeight="false" outlineLevel="0" collapsed="false">
      <c r="A375" s="24"/>
      <c r="B375" s="25"/>
      <c r="C375" s="25"/>
      <c r="D375" s="25"/>
      <c r="E375" s="6"/>
      <c r="F375" s="26" t="str">
        <f aca="false">IF(A375="","",MONTH(A375))</f>
        <v/>
      </c>
      <c r="G375" s="26" t="str">
        <f aca="false">IF(A375="","",YEAR(A375))</f>
        <v/>
      </c>
      <c r="H375" s="11" t="str">
        <f aca="false">IF(OR(C375="",B375&lt;&gt;"Pengeluaran"),"",IFERROR(INDEX(Dashboard!$B$18:$B$39,MATCH(C375,Dashboard!$A$18:$A$39,0)),""))</f>
        <v/>
      </c>
    </row>
    <row r="376" customFormat="false" ht="15" hidden="false" customHeight="false" outlineLevel="0" collapsed="false">
      <c r="A376" s="24"/>
      <c r="B376" s="25"/>
      <c r="C376" s="25"/>
      <c r="D376" s="25"/>
      <c r="E376" s="6"/>
      <c r="F376" s="26" t="str">
        <f aca="false">IF(A376="","",MONTH(A376))</f>
        <v/>
      </c>
      <c r="G376" s="26" t="str">
        <f aca="false">IF(A376="","",YEAR(A376))</f>
        <v/>
      </c>
      <c r="H376" s="11" t="str">
        <f aca="false">IF(OR(C376="",B376&lt;&gt;"Pengeluaran"),"",IFERROR(INDEX(Dashboard!$B$18:$B$39,MATCH(C376,Dashboard!$A$18:$A$39,0)),""))</f>
        <v/>
      </c>
    </row>
    <row r="377" customFormat="false" ht="15" hidden="false" customHeight="false" outlineLevel="0" collapsed="false">
      <c r="A377" s="24"/>
      <c r="B377" s="25"/>
      <c r="C377" s="25"/>
      <c r="D377" s="25"/>
      <c r="E377" s="6"/>
      <c r="F377" s="26" t="str">
        <f aca="false">IF(A377="","",MONTH(A377))</f>
        <v/>
      </c>
      <c r="G377" s="26" t="str">
        <f aca="false">IF(A377="","",YEAR(A377))</f>
        <v/>
      </c>
      <c r="H377" s="11" t="str">
        <f aca="false">IF(OR(C377="",B377&lt;&gt;"Pengeluaran"),"",IFERROR(INDEX(Dashboard!$B$18:$B$39,MATCH(C377,Dashboard!$A$18:$A$39,0)),""))</f>
        <v/>
      </c>
    </row>
    <row r="378" customFormat="false" ht="15" hidden="false" customHeight="false" outlineLevel="0" collapsed="false">
      <c r="A378" s="24"/>
      <c r="B378" s="25"/>
      <c r="C378" s="25"/>
      <c r="D378" s="25"/>
      <c r="E378" s="6"/>
      <c r="F378" s="26" t="str">
        <f aca="false">IF(A378="","",MONTH(A378))</f>
        <v/>
      </c>
      <c r="G378" s="26" t="str">
        <f aca="false">IF(A378="","",YEAR(A378))</f>
        <v/>
      </c>
      <c r="H378" s="11" t="str">
        <f aca="false">IF(OR(C378="",B378&lt;&gt;"Pengeluaran"),"",IFERROR(INDEX(Dashboard!$B$18:$B$39,MATCH(C378,Dashboard!$A$18:$A$39,0)),""))</f>
        <v/>
      </c>
    </row>
    <row r="379" customFormat="false" ht="15" hidden="false" customHeight="false" outlineLevel="0" collapsed="false">
      <c r="A379" s="24"/>
      <c r="B379" s="25"/>
      <c r="C379" s="25"/>
      <c r="D379" s="25"/>
      <c r="E379" s="6"/>
      <c r="F379" s="26" t="str">
        <f aca="false">IF(A379="","",MONTH(A379))</f>
        <v/>
      </c>
      <c r="G379" s="26" t="str">
        <f aca="false">IF(A379="","",YEAR(A379))</f>
        <v/>
      </c>
      <c r="H379" s="11" t="str">
        <f aca="false">IF(OR(C379="",B379&lt;&gt;"Pengeluaran"),"",IFERROR(INDEX(Dashboard!$B$18:$B$39,MATCH(C379,Dashboard!$A$18:$A$39,0)),""))</f>
        <v/>
      </c>
    </row>
    <row r="380" customFormat="false" ht="15" hidden="false" customHeight="false" outlineLevel="0" collapsed="false">
      <c r="A380" s="24"/>
      <c r="B380" s="25"/>
      <c r="C380" s="25"/>
      <c r="D380" s="25"/>
      <c r="E380" s="6"/>
      <c r="F380" s="26" t="str">
        <f aca="false">IF(A380="","",MONTH(A380))</f>
        <v/>
      </c>
      <c r="G380" s="26" t="str">
        <f aca="false">IF(A380="","",YEAR(A380))</f>
        <v/>
      </c>
      <c r="H380" s="11" t="str">
        <f aca="false">IF(OR(C380="",B380&lt;&gt;"Pengeluaran"),"",IFERROR(INDEX(Dashboard!$B$18:$B$39,MATCH(C380,Dashboard!$A$18:$A$39,0)),""))</f>
        <v/>
      </c>
    </row>
    <row r="381" customFormat="false" ht="15" hidden="false" customHeight="false" outlineLevel="0" collapsed="false">
      <c r="A381" s="24"/>
      <c r="B381" s="25"/>
      <c r="C381" s="25"/>
      <c r="D381" s="25"/>
      <c r="E381" s="6"/>
      <c r="F381" s="26" t="str">
        <f aca="false">IF(A381="","",MONTH(A381))</f>
        <v/>
      </c>
      <c r="G381" s="26" t="str">
        <f aca="false">IF(A381="","",YEAR(A381))</f>
        <v/>
      </c>
      <c r="H381" s="11" t="str">
        <f aca="false">IF(OR(C381="",B381&lt;&gt;"Pengeluaran"),"",IFERROR(INDEX(Dashboard!$B$18:$B$39,MATCH(C381,Dashboard!$A$18:$A$39,0)),""))</f>
        <v/>
      </c>
    </row>
    <row r="382" customFormat="false" ht="15" hidden="false" customHeight="false" outlineLevel="0" collapsed="false">
      <c r="A382" s="24"/>
      <c r="B382" s="25"/>
      <c r="C382" s="25"/>
      <c r="D382" s="25"/>
      <c r="E382" s="6"/>
      <c r="F382" s="26" t="str">
        <f aca="false">IF(A382="","",MONTH(A382))</f>
        <v/>
      </c>
      <c r="G382" s="26" t="str">
        <f aca="false">IF(A382="","",YEAR(A382))</f>
        <v/>
      </c>
      <c r="H382" s="11" t="str">
        <f aca="false">IF(OR(C382="",B382&lt;&gt;"Pengeluaran"),"",IFERROR(INDEX(Dashboard!$B$18:$B$39,MATCH(C382,Dashboard!$A$18:$A$39,0)),""))</f>
        <v/>
      </c>
    </row>
    <row r="383" customFormat="false" ht="15" hidden="false" customHeight="false" outlineLevel="0" collapsed="false">
      <c r="A383" s="24"/>
      <c r="B383" s="25"/>
      <c r="C383" s="25"/>
      <c r="D383" s="25"/>
      <c r="E383" s="6"/>
      <c r="F383" s="26" t="str">
        <f aca="false">IF(A383="","",MONTH(A383))</f>
        <v/>
      </c>
      <c r="G383" s="26" t="str">
        <f aca="false">IF(A383="","",YEAR(A383))</f>
        <v/>
      </c>
      <c r="H383" s="11" t="str">
        <f aca="false">IF(OR(C383="",B383&lt;&gt;"Pengeluaran"),"",IFERROR(INDEX(Dashboard!$B$18:$B$39,MATCH(C383,Dashboard!$A$18:$A$39,0)),""))</f>
        <v/>
      </c>
    </row>
    <row r="384" customFormat="false" ht="15" hidden="false" customHeight="false" outlineLevel="0" collapsed="false">
      <c r="A384" s="24"/>
      <c r="B384" s="25"/>
      <c r="C384" s="25"/>
      <c r="D384" s="25"/>
      <c r="E384" s="6"/>
      <c r="F384" s="26" t="str">
        <f aca="false">IF(A384="","",MONTH(A384))</f>
        <v/>
      </c>
      <c r="G384" s="26" t="str">
        <f aca="false">IF(A384="","",YEAR(A384))</f>
        <v/>
      </c>
      <c r="H384" s="11" t="str">
        <f aca="false">IF(OR(C384="",B384&lt;&gt;"Pengeluaran"),"",IFERROR(INDEX(Dashboard!$B$18:$B$39,MATCH(C384,Dashboard!$A$18:$A$39,0)),""))</f>
        <v/>
      </c>
    </row>
    <row r="385" customFormat="false" ht="15" hidden="false" customHeight="false" outlineLevel="0" collapsed="false">
      <c r="A385" s="24"/>
      <c r="B385" s="25"/>
      <c r="C385" s="25"/>
      <c r="D385" s="25"/>
      <c r="E385" s="6"/>
      <c r="F385" s="26" t="str">
        <f aca="false">IF(A385="","",MONTH(A385))</f>
        <v/>
      </c>
      <c r="G385" s="26" t="str">
        <f aca="false">IF(A385="","",YEAR(A385))</f>
        <v/>
      </c>
      <c r="H385" s="11" t="str">
        <f aca="false">IF(OR(C385="",B385&lt;&gt;"Pengeluaran"),"",IFERROR(INDEX(Dashboard!$B$18:$B$39,MATCH(C385,Dashboard!$A$18:$A$39,0)),""))</f>
        <v/>
      </c>
    </row>
    <row r="386" customFormat="false" ht="15" hidden="false" customHeight="false" outlineLevel="0" collapsed="false">
      <c r="A386" s="24"/>
      <c r="B386" s="25"/>
      <c r="C386" s="25"/>
      <c r="D386" s="25"/>
      <c r="E386" s="6"/>
      <c r="F386" s="26" t="str">
        <f aca="false">IF(A386="","",MONTH(A386))</f>
        <v/>
      </c>
      <c r="G386" s="26" t="str">
        <f aca="false">IF(A386="","",YEAR(A386))</f>
        <v/>
      </c>
      <c r="H386" s="11" t="str">
        <f aca="false">IF(OR(C386="",B386&lt;&gt;"Pengeluaran"),"",IFERROR(INDEX(Dashboard!$B$18:$B$39,MATCH(C386,Dashboard!$A$18:$A$39,0)),""))</f>
        <v/>
      </c>
    </row>
    <row r="387" customFormat="false" ht="15" hidden="false" customHeight="false" outlineLevel="0" collapsed="false">
      <c r="A387" s="24"/>
      <c r="B387" s="25"/>
      <c r="C387" s="25"/>
      <c r="D387" s="25"/>
      <c r="E387" s="6"/>
      <c r="F387" s="26" t="str">
        <f aca="false">IF(A387="","",MONTH(A387))</f>
        <v/>
      </c>
      <c r="G387" s="26" t="str">
        <f aca="false">IF(A387="","",YEAR(A387))</f>
        <v/>
      </c>
      <c r="H387" s="11" t="str">
        <f aca="false">IF(OR(C387="",B387&lt;&gt;"Pengeluaran"),"",IFERROR(INDEX(Dashboard!$B$18:$B$39,MATCH(C387,Dashboard!$A$18:$A$39,0)),""))</f>
        <v/>
      </c>
    </row>
    <row r="388" customFormat="false" ht="15" hidden="false" customHeight="false" outlineLevel="0" collapsed="false">
      <c r="A388" s="24"/>
      <c r="B388" s="25"/>
      <c r="C388" s="25"/>
      <c r="D388" s="25"/>
      <c r="E388" s="6"/>
      <c r="F388" s="26" t="str">
        <f aca="false">IF(A388="","",MONTH(A388))</f>
        <v/>
      </c>
      <c r="G388" s="26" t="str">
        <f aca="false">IF(A388="","",YEAR(A388))</f>
        <v/>
      </c>
      <c r="H388" s="11" t="str">
        <f aca="false">IF(OR(C388="",B388&lt;&gt;"Pengeluaran"),"",IFERROR(INDEX(Dashboard!$B$18:$B$39,MATCH(C388,Dashboard!$A$18:$A$39,0)),""))</f>
        <v/>
      </c>
    </row>
    <row r="389" customFormat="false" ht="15" hidden="false" customHeight="false" outlineLevel="0" collapsed="false">
      <c r="A389" s="24"/>
      <c r="B389" s="25"/>
      <c r="C389" s="25"/>
      <c r="D389" s="25"/>
      <c r="E389" s="6"/>
      <c r="F389" s="26" t="str">
        <f aca="false">IF(A389="","",MONTH(A389))</f>
        <v/>
      </c>
      <c r="G389" s="26" t="str">
        <f aca="false">IF(A389="","",YEAR(A389))</f>
        <v/>
      </c>
      <c r="H389" s="11" t="str">
        <f aca="false">IF(OR(C389="",B389&lt;&gt;"Pengeluaran"),"",IFERROR(INDEX(Dashboard!$B$18:$B$39,MATCH(C389,Dashboard!$A$18:$A$39,0)),""))</f>
        <v/>
      </c>
    </row>
    <row r="390" customFormat="false" ht="15" hidden="false" customHeight="false" outlineLevel="0" collapsed="false">
      <c r="A390" s="24"/>
      <c r="B390" s="25"/>
      <c r="C390" s="25"/>
      <c r="D390" s="25"/>
      <c r="E390" s="6"/>
      <c r="F390" s="26" t="str">
        <f aca="false">IF(A390="","",MONTH(A390))</f>
        <v/>
      </c>
      <c r="G390" s="26" t="str">
        <f aca="false">IF(A390="","",YEAR(A390))</f>
        <v/>
      </c>
      <c r="H390" s="11" t="str">
        <f aca="false">IF(OR(C390="",B390&lt;&gt;"Pengeluaran"),"",IFERROR(INDEX(Dashboard!$B$18:$B$39,MATCH(C390,Dashboard!$A$18:$A$39,0)),""))</f>
        <v/>
      </c>
    </row>
    <row r="391" customFormat="false" ht="15" hidden="false" customHeight="false" outlineLevel="0" collapsed="false">
      <c r="A391" s="24"/>
      <c r="B391" s="25"/>
      <c r="C391" s="25"/>
      <c r="D391" s="25"/>
      <c r="E391" s="6"/>
      <c r="F391" s="26" t="str">
        <f aca="false">IF(A391="","",MONTH(A391))</f>
        <v/>
      </c>
      <c r="G391" s="26" t="str">
        <f aca="false">IF(A391="","",YEAR(A391))</f>
        <v/>
      </c>
      <c r="H391" s="11" t="str">
        <f aca="false">IF(OR(C391="",B391&lt;&gt;"Pengeluaran"),"",IFERROR(INDEX(Dashboard!$B$18:$B$39,MATCH(C391,Dashboard!$A$18:$A$39,0)),""))</f>
        <v/>
      </c>
    </row>
    <row r="392" customFormat="false" ht="15" hidden="false" customHeight="false" outlineLevel="0" collapsed="false">
      <c r="A392" s="24"/>
      <c r="B392" s="25"/>
      <c r="C392" s="25"/>
      <c r="D392" s="25"/>
      <c r="E392" s="6"/>
      <c r="F392" s="26" t="str">
        <f aca="false">IF(A392="","",MONTH(A392))</f>
        <v/>
      </c>
      <c r="G392" s="26" t="str">
        <f aca="false">IF(A392="","",YEAR(A392))</f>
        <v/>
      </c>
      <c r="H392" s="11" t="str">
        <f aca="false">IF(OR(C392="",B392&lt;&gt;"Pengeluaran"),"",IFERROR(INDEX(Dashboard!$B$18:$B$39,MATCH(C392,Dashboard!$A$18:$A$39,0)),""))</f>
        <v/>
      </c>
    </row>
    <row r="393" customFormat="false" ht="15" hidden="false" customHeight="false" outlineLevel="0" collapsed="false">
      <c r="A393" s="24"/>
      <c r="B393" s="25"/>
      <c r="C393" s="25"/>
      <c r="D393" s="25"/>
      <c r="E393" s="6"/>
      <c r="F393" s="26" t="str">
        <f aca="false">IF(A393="","",MONTH(A393))</f>
        <v/>
      </c>
      <c r="G393" s="26" t="str">
        <f aca="false">IF(A393="","",YEAR(A393))</f>
        <v/>
      </c>
      <c r="H393" s="11" t="str">
        <f aca="false">IF(OR(C393="",B393&lt;&gt;"Pengeluaran"),"",IFERROR(INDEX(Dashboard!$B$18:$B$39,MATCH(C393,Dashboard!$A$18:$A$39,0)),""))</f>
        <v/>
      </c>
    </row>
    <row r="394" customFormat="false" ht="15" hidden="false" customHeight="false" outlineLevel="0" collapsed="false">
      <c r="A394" s="24"/>
      <c r="B394" s="25"/>
      <c r="C394" s="25"/>
      <c r="D394" s="25"/>
      <c r="E394" s="6"/>
      <c r="F394" s="26" t="str">
        <f aca="false">IF(A394="","",MONTH(A394))</f>
        <v/>
      </c>
      <c r="G394" s="26" t="str">
        <f aca="false">IF(A394="","",YEAR(A394))</f>
        <v/>
      </c>
      <c r="H394" s="11" t="str">
        <f aca="false">IF(OR(C394="",B394&lt;&gt;"Pengeluaran"),"",IFERROR(INDEX(Dashboard!$B$18:$B$39,MATCH(C394,Dashboard!$A$18:$A$39,0)),""))</f>
        <v/>
      </c>
    </row>
    <row r="395" customFormat="false" ht="15" hidden="false" customHeight="false" outlineLevel="0" collapsed="false">
      <c r="A395" s="24"/>
      <c r="B395" s="25"/>
      <c r="C395" s="25"/>
      <c r="D395" s="25"/>
      <c r="E395" s="6"/>
      <c r="F395" s="26" t="str">
        <f aca="false">IF(A395="","",MONTH(A395))</f>
        <v/>
      </c>
      <c r="G395" s="26" t="str">
        <f aca="false">IF(A395="","",YEAR(A395))</f>
        <v/>
      </c>
      <c r="H395" s="11" t="str">
        <f aca="false">IF(OR(C395="",B395&lt;&gt;"Pengeluaran"),"",IFERROR(INDEX(Dashboard!$B$18:$B$39,MATCH(C395,Dashboard!$A$18:$A$39,0)),""))</f>
        <v/>
      </c>
    </row>
    <row r="396" customFormat="false" ht="15" hidden="false" customHeight="false" outlineLevel="0" collapsed="false">
      <c r="A396" s="24"/>
      <c r="B396" s="25"/>
      <c r="C396" s="25"/>
      <c r="D396" s="25"/>
      <c r="E396" s="6"/>
      <c r="F396" s="26" t="str">
        <f aca="false">IF(A396="","",MONTH(A396))</f>
        <v/>
      </c>
      <c r="G396" s="26" t="str">
        <f aca="false">IF(A396="","",YEAR(A396))</f>
        <v/>
      </c>
      <c r="H396" s="11" t="str">
        <f aca="false">IF(OR(C396="",B396&lt;&gt;"Pengeluaran"),"",IFERROR(INDEX(Dashboard!$B$18:$B$39,MATCH(C396,Dashboard!$A$18:$A$39,0)),""))</f>
        <v/>
      </c>
    </row>
    <row r="397" customFormat="false" ht="15" hidden="false" customHeight="false" outlineLevel="0" collapsed="false">
      <c r="A397" s="24"/>
      <c r="B397" s="25"/>
      <c r="C397" s="25"/>
      <c r="D397" s="25"/>
      <c r="E397" s="6"/>
      <c r="F397" s="26" t="str">
        <f aca="false">IF(A397="","",MONTH(A397))</f>
        <v/>
      </c>
      <c r="G397" s="26" t="str">
        <f aca="false">IF(A397="","",YEAR(A397))</f>
        <v/>
      </c>
      <c r="H397" s="11" t="str">
        <f aca="false">IF(OR(C397="",B397&lt;&gt;"Pengeluaran"),"",IFERROR(INDEX(Dashboard!$B$18:$B$39,MATCH(C397,Dashboard!$A$18:$A$39,0)),""))</f>
        <v/>
      </c>
    </row>
    <row r="398" customFormat="false" ht="15" hidden="false" customHeight="false" outlineLevel="0" collapsed="false">
      <c r="A398" s="24"/>
      <c r="B398" s="25"/>
      <c r="C398" s="25"/>
      <c r="D398" s="25"/>
      <c r="E398" s="6"/>
      <c r="F398" s="26" t="str">
        <f aca="false">IF(A398="","",MONTH(A398))</f>
        <v/>
      </c>
      <c r="G398" s="26" t="str">
        <f aca="false">IF(A398="","",YEAR(A398))</f>
        <v/>
      </c>
      <c r="H398" s="11" t="str">
        <f aca="false">IF(OR(C398="",B398&lt;&gt;"Pengeluaran"),"",IFERROR(INDEX(Dashboard!$B$18:$B$39,MATCH(C398,Dashboard!$A$18:$A$39,0)),""))</f>
        <v/>
      </c>
    </row>
    <row r="399" customFormat="false" ht="15" hidden="false" customHeight="false" outlineLevel="0" collapsed="false">
      <c r="A399" s="24"/>
      <c r="B399" s="25"/>
      <c r="C399" s="25"/>
      <c r="D399" s="25"/>
      <c r="E399" s="6"/>
      <c r="F399" s="26" t="str">
        <f aca="false">IF(A399="","",MONTH(A399))</f>
        <v/>
      </c>
      <c r="G399" s="26" t="str">
        <f aca="false">IF(A399="","",YEAR(A399))</f>
        <v/>
      </c>
      <c r="H399" s="11" t="str">
        <f aca="false">IF(OR(C399="",B399&lt;&gt;"Pengeluaran"),"",IFERROR(INDEX(Dashboard!$B$18:$B$39,MATCH(C399,Dashboard!$A$18:$A$39,0)),""))</f>
        <v/>
      </c>
    </row>
    <row r="400" customFormat="false" ht="15" hidden="false" customHeight="false" outlineLevel="0" collapsed="false">
      <c r="A400" s="24"/>
      <c r="B400" s="25"/>
      <c r="C400" s="25"/>
      <c r="D400" s="25"/>
      <c r="E400" s="6"/>
      <c r="F400" s="26" t="str">
        <f aca="false">IF(A400="","",MONTH(A400))</f>
        <v/>
      </c>
      <c r="G400" s="26" t="str">
        <f aca="false">IF(A400="","",YEAR(A400))</f>
        <v/>
      </c>
      <c r="H400" s="11" t="str">
        <f aca="false">IF(OR(C400="",B400&lt;&gt;"Pengeluaran"),"",IFERROR(INDEX(Dashboard!$B$18:$B$39,MATCH(C400,Dashboard!$A$18:$A$39,0)),""))</f>
        <v/>
      </c>
    </row>
    <row r="401" customFormat="false" ht="15" hidden="false" customHeight="false" outlineLevel="0" collapsed="false">
      <c r="A401" s="24"/>
      <c r="B401" s="25"/>
      <c r="C401" s="25"/>
      <c r="D401" s="25"/>
      <c r="E401" s="6"/>
      <c r="F401" s="26" t="str">
        <f aca="false">IF(A401="","",MONTH(A401))</f>
        <v/>
      </c>
      <c r="G401" s="26" t="str">
        <f aca="false">IF(A401="","",YEAR(A401))</f>
        <v/>
      </c>
      <c r="H401" s="11" t="str">
        <f aca="false">IF(OR(C401="",B401&lt;&gt;"Pengeluaran"),"",IFERROR(INDEX(Dashboard!$B$18:$B$39,MATCH(C401,Dashboard!$A$18:$A$39,0)),""))</f>
        <v/>
      </c>
    </row>
    <row r="402" customFormat="false" ht="15" hidden="false" customHeight="false" outlineLevel="0" collapsed="false">
      <c r="A402" s="24"/>
      <c r="B402" s="25"/>
      <c r="C402" s="25"/>
      <c r="D402" s="25"/>
      <c r="E402" s="6"/>
      <c r="F402" s="26" t="str">
        <f aca="false">IF(A402="","",MONTH(A402))</f>
        <v/>
      </c>
      <c r="G402" s="26" t="str">
        <f aca="false">IF(A402="","",YEAR(A402))</f>
        <v/>
      </c>
      <c r="H402" s="11" t="str">
        <f aca="false">IF(OR(C402="",B402&lt;&gt;"Pengeluaran"),"",IFERROR(INDEX(Dashboard!$B$18:$B$39,MATCH(C402,Dashboard!$A$18:$A$39,0)),""))</f>
        <v/>
      </c>
    </row>
    <row r="403" customFormat="false" ht="15" hidden="false" customHeight="false" outlineLevel="0" collapsed="false">
      <c r="A403" s="24"/>
      <c r="B403" s="25"/>
      <c r="C403" s="25"/>
      <c r="D403" s="25"/>
      <c r="E403" s="6"/>
      <c r="F403" s="26" t="str">
        <f aca="false">IF(A403="","",MONTH(A403))</f>
        <v/>
      </c>
      <c r="G403" s="26" t="str">
        <f aca="false">IF(A403="","",YEAR(A403))</f>
        <v/>
      </c>
      <c r="H403" s="11" t="str">
        <f aca="false">IF(OR(C403="",B403&lt;&gt;"Pengeluaran"),"",IFERROR(INDEX(Dashboard!$B$18:$B$39,MATCH(C403,Dashboard!$A$18:$A$39,0)),""))</f>
        <v/>
      </c>
    </row>
    <row r="404" customFormat="false" ht="15" hidden="false" customHeight="false" outlineLevel="0" collapsed="false">
      <c r="A404" s="24"/>
      <c r="B404" s="25"/>
      <c r="C404" s="25"/>
      <c r="D404" s="25"/>
      <c r="E404" s="6"/>
      <c r="F404" s="26" t="str">
        <f aca="false">IF(A404="","",MONTH(A404))</f>
        <v/>
      </c>
      <c r="G404" s="26" t="str">
        <f aca="false">IF(A404="","",YEAR(A404))</f>
        <v/>
      </c>
      <c r="H404" s="11" t="str">
        <f aca="false">IF(OR(C404="",B404&lt;&gt;"Pengeluaran"),"",IFERROR(INDEX(Dashboard!$B$18:$B$39,MATCH(C404,Dashboard!$A$18:$A$39,0)),""))</f>
        <v/>
      </c>
    </row>
    <row r="405" customFormat="false" ht="15" hidden="false" customHeight="false" outlineLevel="0" collapsed="false">
      <c r="A405" s="24"/>
      <c r="B405" s="25"/>
      <c r="C405" s="25"/>
      <c r="D405" s="25"/>
      <c r="E405" s="6"/>
      <c r="F405" s="26" t="str">
        <f aca="false">IF(A405="","",MONTH(A405))</f>
        <v/>
      </c>
      <c r="G405" s="26" t="str">
        <f aca="false">IF(A405="","",YEAR(A405))</f>
        <v/>
      </c>
      <c r="H405" s="11" t="str">
        <f aca="false">IF(OR(C405="",B405&lt;&gt;"Pengeluaran"),"",IFERROR(INDEX(Dashboard!$B$18:$B$39,MATCH(C405,Dashboard!$A$18:$A$39,0)),""))</f>
        <v/>
      </c>
    </row>
    <row r="406" customFormat="false" ht="15" hidden="false" customHeight="false" outlineLevel="0" collapsed="false">
      <c r="A406" s="24"/>
      <c r="B406" s="25"/>
      <c r="C406" s="25"/>
      <c r="D406" s="25"/>
      <c r="E406" s="6"/>
      <c r="F406" s="26" t="str">
        <f aca="false">IF(A406="","",MONTH(A406))</f>
        <v/>
      </c>
      <c r="G406" s="26" t="str">
        <f aca="false">IF(A406="","",YEAR(A406))</f>
        <v/>
      </c>
      <c r="H406" s="11" t="str">
        <f aca="false">IF(OR(C406="",B406&lt;&gt;"Pengeluaran"),"",IFERROR(INDEX(Dashboard!$B$18:$B$39,MATCH(C406,Dashboard!$A$18:$A$39,0)),""))</f>
        <v/>
      </c>
    </row>
    <row r="407" customFormat="false" ht="15" hidden="false" customHeight="false" outlineLevel="0" collapsed="false">
      <c r="A407" s="24"/>
      <c r="B407" s="25"/>
      <c r="C407" s="25"/>
      <c r="D407" s="25"/>
      <c r="E407" s="6"/>
      <c r="F407" s="26" t="str">
        <f aca="false">IF(A407="","",MONTH(A407))</f>
        <v/>
      </c>
      <c r="G407" s="26" t="str">
        <f aca="false">IF(A407="","",YEAR(A407))</f>
        <v/>
      </c>
      <c r="H407" s="11" t="str">
        <f aca="false">IF(OR(C407="",B407&lt;&gt;"Pengeluaran"),"",IFERROR(INDEX(Dashboard!$B$18:$B$39,MATCH(C407,Dashboard!$A$18:$A$39,0)),""))</f>
        <v/>
      </c>
    </row>
    <row r="408" customFormat="false" ht="15" hidden="false" customHeight="false" outlineLevel="0" collapsed="false">
      <c r="A408" s="24"/>
      <c r="B408" s="25"/>
      <c r="C408" s="25"/>
      <c r="D408" s="25"/>
      <c r="E408" s="6"/>
      <c r="F408" s="26" t="str">
        <f aca="false">IF(A408="","",MONTH(A408))</f>
        <v/>
      </c>
      <c r="G408" s="26" t="str">
        <f aca="false">IF(A408="","",YEAR(A408))</f>
        <v/>
      </c>
      <c r="H408" s="11" t="str">
        <f aca="false">IF(OR(C408="",B408&lt;&gt;"Pengeluaran"),"",IFERROR(INDEX(Dashboard!$B$18:$B$39,MATCH(C408,Dashboard!$A$18:$A$39,0)),""))</f>
        <v/>
      </c>
    </row>
    <row r="409" customFormat="false" ht="15" hidden="false" customHeight="false" outlineLevel="0" collapsed="false">
      <c r="A409" s="24"/>
      <c r="B409" s="25"/>
      <c r="C409" s="25"/>
      <c r="D409" s="25"/>
      <c r="E409" s="6"/>
      <c r="F409" s="26" t="str">
        <f aca="false">IF(A409="","",MONTH(A409))</f>
        <v/>
      </c>
      <c r="G409" s="26" t="str">
        <f aca="false">IF(A409="","",YEAR(A409))</f>
        <v/>
      </c>
      <c r="H409" s="11" t="str">
        <f aca="false">IF(OR(C409="",B409&lt;&gt;"Pengeluaran"),"",IFERROR(INDEX(Dashboard!$B$18:$B$39,MATCH(C409,Dashboard!$A$18:$A$39,0)),""))</f>
        <v/>
      </c>
    </row>
    <row r="410" customFormat="false" ht="15" hidden="false" customHeight="false" outlineLevel="0" collapsed="false">
      <c r="A410" s="24"/>
      <c r="B410" s="25"/>
      <c r="C410" s="25"/>
      <c r="D410" s="25"/>
      <c r="E410" s="6"/>
      <c r="F410" s="26" t="str">
        <f aca="false">IF(A410="","",MONTH(A410))</f>
        <v/>
      </c>
      <c r="G410" s="26" t="str">
        <f aca="false">IF(A410="","",YEAR(A410))</f>
        <v/>
      </c>
      <c r="H410" s="11" t="str">
        <f aca="false">IF(OR(C410="",B410&lt;&gt;"Pengeluaran"),"",IFERROR(INDEX(Dashboard!$B$18:$B$39,MATCH(C410,Dashboard!$A$18:$A$39,0)),""))</f>
        <v/>
      </c>
    </row>
    <row r="411" customFormat="false" ht="15" hidden="false" customHeight="false" outlineLevel="0" collapsed="false">
      <c r="A411" s="24"/>
      <c r="B411" s="25"/>
      <c r="C411" s="25"/>
      <c r="D411" s="25"/>
      <c r="E411" s="6"/>
      <c r="F411" s="26" t="str">
        <f aca="false">IF(A411="","",MONTH(A411))</f>
        <v/>
      </c>
      <c r="G411" s="26" t="str">
        <f aca="false">IF(A411="","",YEAR(A411))</f>
        <v/>
      </c>
      <c r="H411" s="11" t="str">
        <f aca="false">IF(OR(C411="",B411&lt;&gt;"Pengeluaran"),"",IFERROR(INDEX(Dashboard!$B$18:$B$39,MATCH(C411,Dashboard!$A$18:$A$39,0)),""))</f>
        <v/>
      </c>
    </row>
    <row r="412" customFormat="false" ht="15" hidden="false" customHeight="false" outlineLevel="0" collapsed="false">
      <c r="A412" s="24"/>
      <c r="B412" s="25"/>
      <c r="C412" s="25"/>
      <c r="D412" s="25"/>
      <c r="E412" s="6"/>
      <c r="F412" s="26" t="str">
        <f aca="false">IF(A412="","",MONTH(A412))</f>
        <v/>
      </c>
      <c r="G412" s="26" t="str">
        <f aca="false">IF(A412="","",YEAR(A412))</f>
        <v/>
      </c>
      <c r="H412" s="11" t="str">
        <f aca="false">IF(OR(C412="",B412&lt;&gt;"Pengeluaran"),"",IFERROR(INDEX(Dashboard!$B$18:$B$39,MATCH(C412,Dashboard!$A$18:$A$39,0)),""))</f>
        <v/>
      </c>
    </row>
    <row r="413" customFormat="false" ht="15" hidden="false" customHeight="false" outlineLevel="0" collapsed="false">
      <c r="A413" s="24"/>
      <c r="B413" s="25"/>
      <c r="C413" s="25"/>
      <c r="D413" s="25"/>
      <c r="E413" s="6"/>
      <c r="F413" s="26" t="str">
        <f aca="false">IF(A413="","",MONTH(A413))</f>
        <v/>
      </c>
      <c r="G413" s="26" t="str">
        <f aca="false">IF(A413="","",YEAR(A413))</f>
        <v/>
      </c>
      <c r="H413" s="11" t="str">
        <f aca="false">IF(OR(C413="",B413&lt;&gt;"Pengeluaran"),"",IFERROR(INDEX(Dashboard!$B$18:$B$39,MATCH(C413,Dashboard!$A$18:$A$39,0)),""))</f>
        <v/>
      </c>
    </row>
    <row r="414" customFormat="false" ht="15" hidden="false" customHeight="false" outlineLevel="0" collapsed="false">
      <c r="A414" s="24"/>
      <c r="B414" s="25"/>
      <c r="C414" s="25"/>
      <c r="D414" s="25"/>
      <c r="E414" s="6"/>
      <c r="F414" s="26" t="str">
        <f aca="false">IF(A414="","",MONTH(A414))</f>
        <v/>
      </c>
      <c r="G414" s="26" t="str">
        <f aca="false">IF(A414="","",YEAR(A414))</f>
        <v/>
      </c>
      <c r="H414" s="11" t="str">
        <f aca="false">IF(OR(C414="",B414&lt;&gt;"Pengeluaran"),"",IFERROR(INDEX(Dashboard!$B$18:$B$39,MATCH(C414,Dashboard!$A$18:$A$39,0)),""))</f>
        <v/>
      </c>
    </row>
    <row r="415" customFormat="false" ht="15" hidden="false" customHeight="false" outlineLevel="0" collapsed="false">
      <c r="A415" s="24"/>
      <c r="B415" s="25"/>
      <c r="C415" s="25"/>
      <c r="D415" s="25"/>
      <c r="E415" s="6"/>
      <c r="F415" s="26" t="str">
        <f aca="false">IF(A415="","",MONTH(A415))</f>
        <v/>
      </c>
      <c r="G415" s="26" t="str">
        <f aca="false">IF(A415="","",YEAR(A415))</f>
        <v/>
      </c>
      <c r="H415" s="11" t="str">
        <f aca="false">IF(OR(C415="",B415&lt;&gt;"Pengeluaran"),"",IFERROR(INDEX(Dashboard!$B$18:$B$39,MATCH(C415,Dashboard!$A$18:$A$39,0)),""))</f>
        <v/>
      </c>
    </row>
    <row r="416" customFormat="false" ht="15" hidden="false" customHeight="false" outlineLevel="0" collapsed="false">
      <c r="A416" s="24"/>
      <c r="B416" s="25"/>
      <c r="C416" s="25"/>
      <c r="D416" s="25"/>
      <c r="E416" s="6"/>
      <c r="F416" s="26" t="str">
        <f aca="false">IF(A416="","",MONTH(A416))</f>
        <v/>
      </c>
      <c r="G416" s="26" t="str">
        <f aca="false">IF(A416="","",YEAR(A416))</f>
        <v/>
      </c>
      <c r="H416" s="11" t="str">
        <f aca="false">IF(OR(C416="",B416&lt;&gt;"Pengeluaran"),"",IFERROR(INDEX(Dashboard!$B$18:$B$39,MATCH(C416,Dashboard!$A$18:$A$39,0)),""))</f>
        <v/>
      </c>
    </row>
    <row r="417" customFormat="false" ht="15" hidden="false" customHeight="false" outlineLevel="0" collapsed="false">
      <c r="A417" s="24"/>
      <c r="B417" s="25"/>
      <c r="C417" s="25"/>
      <c r="D417" s="25"/>
      <c r="E417" s="6"/>
      <c r="F417" s="26" t="str">
        <f aca="false">IF(A417="","",MONTH(A417))</f>
        <v/>
      </c>
      <c r="G417" s="26" t="str">
        <f aca="false">IF(A417="","",YEAR(A417))</f>
        <v/>
      </c>
      <c r="H417" s="11" t="str">
        <f aca="false">IF(OR(C417="",B417&lt;&gt;"Pengeluaran"),"",IFERROR(INDEX(Dashboard!$B$18:$B$39,MATCH(C417,Dashboard!$A$18:$A$39,0)),""))</f>
        <v/>
      </c>
    </row>
    <row r="418" customFormat="false" ht="15" hidden="false" customHeight="false" outlineLevel="0" collapsed="false">
      <c r="A418" s="24"/>
      <c r="B418" s="25"/>
      <c r="C418" s="25"/>
      <c r="D418" s="25"/>
      <c r="E418" s="6"/>
      <c r="F418" s="26" t="str">
        <f aca="false">IF(A418="","",MONTH(A418))</f>
        <v/>
      </c>
      <c r="G418" s="26" t="str">
        <f aca="false">IF(A418="","",YEAR(A418))</f>
        <v/>
      </c>
      <c r="H418" s="11" t="str">
        <f aca="false">IF(OR(C418="",B418&lt;&gt;"Pengeluaran"),"",IFERROR(INDEX(Dashboard!$B$18:$B$39,MATCH(C418,Dashboard!$A$18:$A$39,0)),""))</f>
        <v/>
      </c>
    </row>
    <row r="419" customFormat="false" ht="15" hidden="false" customHeight="false" outlineLevel="0" collapsed="false">
      <c r="A419" s="24"/>
      <c r="B419" s="25"/>
      <c r="C419" s="25"/>
      <c r="D419" s="25"/>
      <c r="E419" s="6"/>
      <c r="F419" s="26" t="str">
        <f aca="false">IF(A419="","",MONTH(A419))</f>
        <v/>
      </c>
      <c r="G419" s="26" t="str">
        <f aca="false">IF(A419="","",YEAR(A419))</f>
        <v/>
      </c>
      <c r="H419" s="11" t="str">
        <f aca="false">IF(OR(C419="",B419&lt;&gt;"Pengeluaran"),"",IFERROR(INDEX(Dashboard!$B$18:$B$39,MATCH(C419,Dashboard!$A$18:$A$39,0)),""))</f>
        <v/>
      </c>
    </row>
    <row r="420" customFormat="false" ht="15" hidden="false" customHeight="false" outlineLevel="0" collapsed="false">
      <c r="A420" s="24"/>
      <c r="B420" s="25"/>
      <c r="C420" s="25"/>
      <c r="D420" s="25"/>
      <c r="E420" s="6"/>
      <c r="F420" s="26" t="str">
        <f aca="false">IF(A420="","",MONTH(A420))</f>
        <v/>
      </c>
      <c r="G420" s="26" t="str">
        <f aca="false">IF(A420="","",YEAR(A420))</f>
        <v/>
      </c>
      <c r="H420" s="11" t="str">
        <f aca="false">IF(OR(C420="",B420&lt;&gt;"Pengeluaran"),"",IFERROR(INDEX(Dashboard!$B$18:$B$39,MATCH(C420,Dashboard!$A$18:$A$39,0)),""))</f>
        <v/>
      </c>
    </row>
    <row r="421" customFormat="false" ht="15" hidden="false" customHeight="false" outlineLevel="0" collapsed="false">
      <c r="A421" s="24"/>
      <c r="B421" s="25"/>
      <c r="C421" s="25"/>
      <c r="D421" s="25"/>
      <c r="E421" s="6"/>
      <c r="F421" s="26" t="str">
        <f aca="false">IF(A421="","",MONTH(A421))</f>
        <v/>
      </c>
      <c r="G421" s="26" t="str">
        <f aca="false">IF(A421="","",YEAR(A421))</f>
        <v/>
      </c>
      <c r="H421" s="11" t="str">
        <f aca="false">IF(OR(C421="",B421&lt;&gt;"Pengeluaran"),"",IFERROR(INDEX(Dashboard!$B$18:$B$39,MATCH(C421,Dashboard!$A$18:$A$39,0)),""))</f>
        <v/>
      </c>
    </row>
    <row r="422" customFormat="false" ht="15" hidden="false" customHeight="false" outlineLevel="0" collapsed="false">
      <c r="A422" s="24"/>
      <c r="B422" s="25"/>
      <c r="C422" s="25"/>
      <c r="D422" s="25"/>
      <c r="E422" s="6"/>
      <c r="F422" s="26" t="str">
        <f aca="false">IF(A422="","",MONTH(A422))</f>
        <v/>
      </c>
      <c r="G422" s="26" t="str">
        <f aca="false">IF(A422="","",YEAR(A422))</f>
        <v/>
      </c>
      <c r="H422" s="11" t="str">
        <f aca="false">IF(OR(C422="",B422&lt;&gt;"Pengeluaran"),"",IFERROR(INDEX(Dashboard!$B$18:$B$39,MATCH(C422,Dashboard!$A$18:$A$39,0)),""))</f>
        <v/>
      </c>
    </row>
    <row r="423" customFormat="false" ht="15" hidden="false" customHeight="false" outlineLevel="0" collapsed="false">
      <c r="A423" s="24"/>
      <c r="B423" s="25"/>
      <c r="C423" s="25"/>
      <c r="D423" s="25"/>
      <c r="E423" s="6"/>
      <c r="F423" s="26" t="str">
        <f aca="false">IF(A423="","",MONTH(A423))</f>
        <v/>
      </c>
      <c r="G423" s="26" t="str">
        <f aca="false">IF(A423="","",YEAR(A423))</f>
        <v/>
      </c>
      <c r="H423" s="11" t="str">
        <f aca="false">IF(OR(C423="",B423&lt;&gt;"Pengeluaran"),"",IFERROR(INDEX(Dashboard!$B$18:$B$39,MATCH(C423,Dashboard!$A$18:$A$39,0)),""))</f>
        <v/>
      </c>
    </row>
    <row r="424" customFormat="false" ht="15" hidden="false" customHeight="false" outlineLevel="0" collapsed="false">
      <c r="A424" s="24"/>
      <c r="B424" s="25"/>
      <c r="C424" s="25"/>
      <c r="D424" s="25"/>
      <c r="E424" s="6"/>
      <c r="F424" s="26" t="str">
        <f aca="false">IF(A424="","",MONTH(A424))</f>
        <v/>
      </c>
      <c r="G424" s="26" t="str">
        <f aca="false">IF(A424="","",YEAR(A424))</f>
        <v/>
      </c>
      <c r="H424" s="11" t="str">
        <f aca="false">IF(OR(C424="",B424&lt;&gt;"Pengeluaran"),"",IFERROR(INDEX(Dashboard!$B$18:$B$39,MATCH(C424,Dashboard!$A$18:$A$39,0)),""))</f>
        <v/>
      </c>
    </row>
    <row r="425" customFormat="false" ht="15" hidden="false" customHeight="false" outlineLevel="0" collapsed="false">
      <c r="A425" s="24"/>
      <c r="B425" s="25"/>
      <c r="C425" s="25"/>
      <c r="D425" s="25"/>
      <c r="E425" s="6"/>
      <c r="F425" s="26" t="str">
        <f aca="false">IF(A425="","",MONTH(A425))</f>
        <v/>
      </c>
      <c r="G425" s="26" t="str">
        <f aca="false">IF(A425="","",YEAR(A425))</f>
        <v/>
      </c>
      <c r="H425" s="11" t="str">
        <f aca="false">IF(OR(C425="",B425&lt;&gt;"Pengeluaran"),"",IFERROR(INDEX(Dashboard!$B$18:$B$39,MATCH(C425,Dashboard!$A$18:$A$39,0)),""))</f>
        <v/>
      </c>
    </row>
    <row r="426" customFormat="false" ht="15" hidden="false" customHeight="false" outlineLevel="0" collapsed="false">
      <c r="A426" s="24"/>
      <c r="B426" s="25"/>
      <c r="C426" s="25"/>
      <c r="D426" s="25"/>
      <c r="E426" s="6"/>
      <c r="F426" s="26" t="str">
        <f aca="false">IF(A426="","",MONTH(A426))</f>
        <v/>
      </c>
      <c r="G426" s="26" t="str">
        <f aca="false">IF(A426="","",YEAR(A426))</f>
        <v/>
      </c>
      <c r="H426" s="11" t="str">
        <f aca="false">IF(OR(C426="",B426&lt;&gt;"Pengeluaran"),"",IFERROR(INDEX(Dashboard!$B$18:$B$39,MATCH(C426,Dashboard!$A$18:$A$39,0)),""))</f>
        <v/>
      </c>
    </row>
    <row r="427" customFormat="false" ht="15" hidden="false" customHeight="false" outlineLevel="0" collapsed="false">
      <c r="A427" s="24"/>
      <c r="B427" s="25"/>
      <c r="C427" s="25"/>
      <c r="D427" s="25"/>
      <c r="E427" s="6"/>
      <c r="F427" s="26" t="str">
        <f aca="false">IF(A427="","",MONTH(A427))</f>
        <v/>
      </c>
      <c r="G427" s="26" t="str">
        <f aca="false">IF(A427="","",YEAR(A427))</f>
        <v/>
      </c>
      <c r="H427" s="11" t="str">
        <f aca="false">IF(OR(C427="",B427&lt;&gt;"Pengeluaran"),"",IFERROR(INDEX(Dashboard!$B$18:$B$39,MATCH(C427,Dashboard!$A$18:$A$39,0)),""))</f>
        <v/>
      </c>
    </row>
    <row r="428" customFormat="false" ht="15" hidden="false" customHeight="false" outlineLevel="0" collapsed="false">
      <c r="A428" s="24"/>
      <c r="B428" s="25"/>
      <c r="C428" s="25"/>
      <c r="D428" s="25"/>
      <c r="E428" s="6"/>
      <c r="F428" s="26" t="str">
        <f aca="false">IF(A428="","",MONTH(A428))</f>
        <v/>
      </c>
      <c r="G428" s="26" t="str">
        <f aca="false">IF(A428="","",YEAR(A428))</f>
        <v/>
      </c>
      <c r="H428" s="11" t="str">
        <f aca="false">IF(OR(C428="",B428&lt;&gt;"Pengeluaran"),"",IFERROR(INDEX(Dashboard!$B$18:$B$39,MATCH(C428,Dashboard!$A$18:$A$39,0)),""))</f>
        <v/>
      </c>
    </row>
    <row r="429" customFormat="false" ht="15" hidden="false" customHeight="false" outlineLevel="0" collapsed="false">
      <c r="A429" s="24"/>
      <c r="B429" s="25"/>
      <c r="C429" s="25"/>
      <c r="D429" s="25"/>
      <c r="E429" s="6"/>
      <c r="F429" s="26" t="str">
        <f aca="false">IF(A429="","",MONTH(A429))</f>
        <v/>
      </c>
      <c r="G429" s="26" t="str">
        <f aca="false">IF(A429="","",YEAR(A429))</f>
        <v/>
      </c>
      <c r="H429" s="11" t="str">
        <f aca="false">IF(OR(C429="",B429&lt;&gt;"Pengeluaran"),"",IFERROR(INDEX(Dashboard!$B$18:$B$39,MATCH(C429,Dashboard!$A$18:$A$39,0)),""))</f>
        <v/>
      </c>
    </row>
    <row r="430" customFormat="false" ht="15" hidden="false" customHeight="false" outlineLevel="0" collapsed="false">
      <c r="A430" s="24"/>
      <c r="B430" s="25"/>
      <c r="C430" s="25"/>
      <c r="D430" s="25"/>
      <c r="E430" s="6"/>
      <c r="F430" s="26" t="str">
        <f aca="false">IF(A430="","",MONTH(A430))</f>
        <v/>
      </c>
      <c r="G430" s="26" t="str">
        <f aca="false">IF(A430="","",YEAR(A430))</f>
        <v/>
      </c>
      <c r="H430" s="11" t="str">
        <f aca="false">IF(OR(C430="",B430&lt;&gt;"Pengeluaran"),"",IFERROR(INDEX(Dashboard!$B$18:$B$39,MATCH(C430,Dashboard!$A$18:$A$39,0)),""))</f>
        <v/>
      </c>
    </row>
    <row r="431" customFormat="false" ht="15" hidden="false" customHeight="false" outlineLevel="0" collapsed="false">
      <c r="A431" s="24"/>
      <c r="B431" s="25"/>
      <c r="C431" s="25"/>
      <c r="D431" s="25"/>
      <c r="E431" s="6"/>
      <c r="F431" s="26" t="str">
        <f aca="false">IF(A431="","",MONTH(A431))</f>
        <v/>
      </c>
      <c r="G431" s="26" t="str">
        <f aca="false">IF(A431="","",YEAR(A431))</f>
        <v/>
      </c>
      <c r="H431" s="11" t="str">
        <f aca="false">IF(OR(C431="",B431&lt;&gt;"Pengeluaran"),"",IFERROR(INDEX(Dashboard!$B$18:$B$39,MATCH(C431,Dashboard!$A$18:$A$39,0)),""))</f>
        <v/>
      </c>
    </row>
    <row r="432" customFormat="false" ht="15" hidden="false" customHeight="false" outlineLevel="0" collapsed="false">
      <c r="A432" s="24"/>
      <c r="B432" s="25"/>
      <c r="C432" s="25"/>
      <c r="D432" s="25"/>
      <c r="E432" s="6"/>
      <c r="F432" s="26" t="str">
        <f aca="false">IF(A432="","",MONTH(A432))</f>
        <v/>
      </c>
      <c r="G432" s="26" t="str">
        <f aca="false">IF(A432="","",YEAR(A432))</f>
        <v/>
      </c>
      <c r="H432" s="11" t="str">
        <f aca="false">IF(OR(C432="",B432&lt;&gt;"Pengeluaran"),"",IFERROR(INDEX(Dashboard!$B$18:$B$39,MATCH(C432,Dashboard!$A$18:$A$39,0)),""))</f>
        <v/>
      </c>
    </row>
    <row r="433" customFormat="false" ht="15" hidden="false" customHeight="false" outlineLevel="0" collapsed="false">
      <c r="A433" s="24"/>
      <c r="B433" s="25"/>
      <c r="C433" s="25"/>
      <c r="D433" s="25"/>
      <c r="E433" s="6"/>
      <c r="F433" s="26" t="str">
        <f aca="false">IF(A433="","",MONTH(A433))</f>
        <v/>
      </c>
      <c r="G433" s="26" t="str">
        <f aca="false">IF(A433="","",YEAR(A433))</f>
        <v/>
      </c>
      <c r="H433" s="11" t="str">
        <f aca="false">IF(OR(C433="",B433&lt;&gt;"Pengeluaran"),"",IFERROR(INDEX(Dashboard!$B$18:$B$39,MATCH(C433,Dashboard!$A$18:$A$39,0)),""))</f>
        <v/>
      </c>
    </row>
    <row r="434" customFormat="false" ht="15" hidden="false" customHeight="false" outlineLevel="0" collapsed="false">
      <c r="A434" s="24"/>
      <c r="B434" s="25"/>
      <c r="C434" s="25"/>
      <c r="D434" s="25"/>
      <c r="E434" s="6"/>
      <c r="F434" s="26" t="str">
        <f aca="false">IF(A434="","",MONTH(A434))</f>
        <v/>
      </c>
      <c r="G434" s="26" t="str">
        <f aca="false">IF(A434="","",YEAR(A434))</f>
        <v/>
      </c>
      <c r="H434" s="11" t="str">
        <f aca="false">IF(OR(C434="",B434&lt;&gt;"Pengeluaran"),"",IFERROR(INDEX(Dashboard!$B$18:$B$39,MATCH(C434,Dashboard!$A$18:$A$39,0)),""))</f>
        <v/>
      </c>
    </row>
    <row r="435" customFormat="false" ht="15" hidden="false" customHeight="false" outlineLevel="0" collapsed="false">
      <c r="A435" s="24"/>
      <c r="B435" s="25"/>
      <c r="C435" s="25"/>
      <c r="D435" s="25"/>
      <c r="E435" s="6"/>
      <c r="F435" s="26" t="str">
        <f aca="false">IF(A435="","",MONTH(A435))</f>
        <v/>
      </c>
      <c r="G435" s="26" t="str">
        <f aca="false">IF(A435="","",YEAR(A435))</f>
        <v/>
      </c>
      <c r="H435" s="11" t="str">
        <f aca="false">IF(OR(C435="",B435&lt;&gt;"Pengeluaran"),"",IFERROR(INDEX(Dashboard!$B$18:$B$39,MATCH(C435,Dashboard!$A$18:$A$39,0)),""))</f>
        <v/>
      </c>
    </row>
    <row r="436" customFormat="false" ht="15" hidden="false" customHeight="false" outlineLevel="0" collapsed="false">
      <c r="A436" s="24"/>
      <c r="B436" s="25"/>
      <c r="C436" s="25"/>
      <c r="D436" s="25"/>
      <c r="E436" s="6"/>
      <c r="F436" s="26" t="str">
        <f aca="false">IF(A436="","",MONTH(A436))</f>
        <v/>
      </c>
      <c r="G436" s="26" t="str">
        <f aca="false">IF(A436="","",YEAR(A436))</f>
        <v/>
      </c>
      <c r="H436" s="11" t="str">
        <f aca="false">IF(OR(C436="",B436&lt;&gt;"Pengeluaran"),"",IFERROR(INDEX(Dashboard!$B$18:$B$39,MATCH(C436,Dashboard!$A$18:$A$39,0)),""))</f>
        <v/>
      </c>
    </row>
    <row r="437" customFormat="false" ht="15" hidden="false" customHeight="false" outlineLevel="0" collapsed="false">
      <c r="A437" s="24"/>
      <c r="B437" s="25"/>
      <c r="C437" s="25"/>
      <c r="D437" s="25"/>
      <c r="E437" s="6"/>
      <c r="F437" s="26" t="str">
        <f aca="false">IF(A437="","",MONTH(A437))</f>
        <v/>
      </c>
      <c r="G437" s="26" t="str">
        <f aca="false">IF(A437="","",YEAR(A437))</f>
        <v/>
      </c>
      <c r="H437" s="11" t="str">
        <f aca="false">IF(OR(C437="",B437&lt;&gt;"Pengeluaran"),"",IFERROR(INDEX(Dashboard!$B$18:$B$39,MATCH(C437,Dashboard!$A$18:$A$39,0)),""))</f>
        <v/>
      </c>
    </row>
    <row r="438" customFormat="false" ht="15" hidden="false" customHeight="false" outlineLevel="0" collapsed="false">
      <c r="A438" s="24"/>
      <c r="B438" s="25"/>
      <c r="C438" s="25"/>
      <c r="D438" s="25"/>
      <c r="E438" s="6"/>
      <c r="F438" s="26" t="str">
        <f aca="false">IF(A438="","",MONTH(A438))</f>
        <v/>
      </c>
      <c r="G438" s="26" t="str">
        <f aca="false">IF(A438="","",YEAR(A438))</f>
        <v/>
      </c>
      <c r="H438" s="11" t="str">
        <f aca="false">IF(OR(C438="",B438&lt;&gt;"Pengeluaran"),"",IFERROR(INDEX(Dashboard!$B$18:$B$39,MATCH(C438,Dashboard!$A$18:$A$39,0)),""))</f>
        <v/>
      </c>
    </row>
    <row r="439" customFormat="false" ht="15" hidden="false" customHeight="false" outlineLevel="0" collapsed="false">
      <c r="A439" s="24"/>
      <c r="B439" s="25"/>
      <c r="C439" s="25"/>
      <c r="D439" s="25"/>
      <c r="E439" s="6"/>
      <c r="F439" s="26" t="str">
        <f aca="false">IF(A439="","",MONTH(A439))</f>
        <v/>
      </c>
      <c r="G439" s="26" t="str">
        <f aca="false">IF(A439="","",YEAR(A439))</f>
        <v/>
      </c>
      <c r="H439" s="11" t="str">
        <f aca="false">IF(OR(C439="",B439&lt;&gt;"Pengeluaran"),"",IFERROR(INDEX(Dashboard!$B$18:$B$39,MATCH(C439,Dashboard!$A$18:$A$39,0)),""))</f>
        <v/>
      </c>
    </row>
    <row r="440" customFormat="false" ht="15" hidden="false" customHeight="false" outlineLevel="0" collapsed="false">
      <c r="A440" s="24"/>
      <c r="B440" s="25"/>
      <c r="C440" s="25"/>
      <c r="D440" s="25"/>
      <c r="E440" s="6"/>
      <c r="F440" s="26" t="str">
        <f aca="false">IF(A440="","",MONTH(A440))</f>
        <v/>
      </c>
      <c r="G440" s="26" t="str">
        <f aca="false">IF(A440="","",YEAR(A440))</f>
        <v/>
      </c>
      <c r="H440" s="11" t="str">
        <f aca="false">IF(OR(C440="",B440&lt;&gt;"Pengeluaran"),"",IFERROR(INDEX(Dashboard!$B$18:$B$39,MATCH(C440,Dashboard!$A$18:$A$39,0)),""))</f>
        <v/>
      </c>
    </row>
    <row r="441" customFormat="false" ht="15" hidden="false" customHeight="false" outlineLevel="0" collapsed="false">
      <c r="A441" s="24"/>
      <c r="B441" s="25"/>
      <c r="C441" s="25"/>
      <c r="D441" s="25"/>
      <c r="E441" s="6"/>
      <c r="F441" s="26" t="str">
        <f aca="false">IF(A441="","",MONTH(A441))</f>
        <v/>
      </c>
      <c r="G441" s="26" t="str">
        <f aca="false">IF(A441="","",YEAR(A441))</f>
        <v/>
      </c>
      <c r="H441" s="11" t="str">
        <f aca="false">IF(OR(C441="",B441&lt;&gt;"Pengeluaran"),"",IFERROR(INDEX(Dashboard!$B$18:$B$39,MATCH(C441,Dashboard!$A$18:$A$39,0)),""))</f>
        <v/>
      </c>
    </row>
    <row r="442" customFormat="false" ht="15" hidden="false" customHeight="false" outlineLevel="0" collapsed="false">
      <c r="A442" s="24"/>
      <c r="B442" s="25"/>
      <c r="C442" s="25"/>
      <c r="D442" s="25"/>
      <c r="E442" s="6"/>
      <c r="F442" s="26" t="str">
        <f aca="false">IF(A442="","",MONTH(A442))</f>
        <v/>
      </c>
      <c r="G442" s="26" t="str">
        <f aca="false">IF(A442="","",YEAR(A442))</f>
        <v/>
      </c>
      <c r="H442" s="11" t="str">
        <f aca="false">IF(OR(C442="",B442&lt;&gt;"Pengeluaran"),"",IFERROR(INDEX(Dashboard!$B$18:$B$39,MATCH(C442,Dashboard!$A$18:$A$39,0)),""))</f>
        <v/>
      </c>
    </row>
    <row r="443" customFormat="false" ht="15" hidden="false" customHeight="false" outlineLevel="0" collapsed="false">
      <c r="A443" s="24"/>
      <c r="B443" s="25"/>
      <c r="C443" s="25"/>
      <c r="D443" s="25"/>
      <c r="E443" s="6"/>
      <c r="F443" s="26" t="str">
        <f aca="false">IF(A443="","",MONTH(A443))</f>
        <v/>
      </c>
      <c r="G443" s="26" t="str">
        <f aca="false">IF(A443="","",YEAR(A443))</f>
        <v/>
      </c>
      <c r="H443" s="11" t="str">
        <f aca="false">IF(OR(C443="",B443&lt;&gt;"Pengeluaran"),"",IFERROR(INDEX(Dashboard!$B$18:$B$39,MATCH(C443,Dashboard!$A$18:$A$39,0)),""))</f>
        <v/>
      </c>
    </row>
    <row r="444" customFormat="false" ht="15" hidden="false" customHeight="false" outlineLevel="0" collapsed="false">
      <c r="A444" s="24"/>
      <c r="B444" s="25"/>
      <c r="C444" s="25"/>
      <c r="D444" s="25"/>
      <c r="E444" s="6"/>
      <c r="F444" s="26" t="str">
        <f aca="false">IF(A444="","",MONTH(A444))</f>
        <v/>
      </c>
      <c r="G444" s="26" t="str">
        <f aca="false">IF(A444="","",YEAR(A444))</f>
        <v/>
      </c>
      <c r="H444" s="11" t="str">
        <f aca="false">IF(OR(C444="",B444&lt;&gt;"Pengeluaran"),"",IFERROR(INDEX(Dashboard!$B$18:$B$39,MATCH(C444,Dashboard!$A$18:$A$39,0)),""))</f>
        <v/>
      </c>
    </row>
    <row r="445" customFormat="false" ht="15" hidden="false" customHeight="false" outlineLevel="0" collapsed="false">
      <c r="A445" s="24"/>
      <c r="B445" s="25"/>
      <c r="C445" s="25"/>
      <c r="D445" s="25"/>
      <c r="E445" s="6"/>
      <c r="F445" s="26" t="str">
        <f aca="false">IF(A445="","",MONTH(A445))</f>
        <v/>
      </c>
      <c r="G445" s="26" t="str">
        <f aca="false">IF(A445="","",YEAR(A445))</f>
        <v/>
      </c>
      <c r="H445" s="11" t="str">
        <f aca="false">IF(OR(C445="",B445&lt;&gt;"Pengeluaran"),"",IFERROR(INDEX(Dashboard!$B$18:$B$39,MATCH(C445,Dashboard!$A$18:$A$39,0)),""))</f>
        <v/>
      </c>
    </row>
    <row r="446" customFormat="false" ht="15" hidden="false" customHeight="false" outlineLevel="0" collapsed="false">
      <c r="A446" s="24"/>
      <c r="B446" s="25"/>
      <c r="C446" s="25"/>
      <c r="D446" s="25"/>
      <c r="E446" s="6"/>
      <c r="F446" s="26" t="str">
        <f aca="false">IF(A446="","",MONTH(A446))</f>
        <v/>
      </c>
      <c r="G446" s="26" t="str">
        <f aca="false">IF(A446="","",YEAR(A446))</f>
        <v/>
      </c>
      <c r="H446" s="11" t="str">
        <f aca="false">IF(OR(C446="",B446&lt;&gt;"Pengeluaran"),"",IFERROR(INDEX(Dashboard!$B$18:$B$39,MATCH(C446,Dashboard!$A$18:$A$39,0)),""))</f>
        <v/>
      </c>
    </row>
    <row r="447" customFormat="false" ht="15" hidden="false" customHeight="false" outlineLevel="0" collapsed="false">
      <c r="A447" s="24"/>
      <c r="B447" s="25"/>
      <c r="C447" s="25"/>
      <c r="D447" s="25"/>
      <c r="E447" s="6"/>
      <c r="F447" s="26" t="str">
        <f aca="false">IF(A447="","",MONTH(A447))</f>
        <v/>
      </c>
      <c r="G447" s="26" t="str">
        <f aca="false">IF(A447="","",YEAR(A447))</f>
        <v/>
      </c>
      <c r="H447" s="11" t="str">
        <f aca="false">IF(OR(C447="",B447&lt;&gt;"Pengeluaran"),"",IFERROR(INDEX(Dashboard!$B$18:$B$39,MATCH(C447,Dashboard!$A$18:$A$39,0)),""))</f>
        <v/>
      </c>
    </row>
    <row r="448" customFormat="false" ht="15" hidden="false" customHeight="false" outlineLevel="0" collapsed="false">
      <c r="A448" s="24"/>
      <c r="B448" s="25"/>
      <c r="C448" s="25"/>
      <c r="D448" s="25"/>
      <c r="E448" s="6"/>
      <c r="F448" s="26" t="str">
        <f aca="false">IF(A448="","",MONTH(A448))</f>
        <v/>
      </c>
      <c r="G448" s="26" t="str">
        <f aca="false">IF(A448="","",YEAR(A448))</f>
        <v/>
      </c>
      <c r="H448" s="11" t="str">
        <f aca="false">IF(OR(C448="",B448&lt;&gt;"Pengeluaran"),"",IFERROR(INDEX(Dashboard!$B$18:$B$39,MATCH(C448,Dashboard!$A$18:$A$39,0)),""))</f>
        <v/>
      </c>
    </row>
    <row r="449" customFormat="false" ht="15" hidden="false" customHeight="false" outlineLevel="0" collapsed="false">
      <c r="A449" s="24"/>
      <c r="B449" s="25"/>
      <c r="C449" s="25"/>
      <c r="D449" s="25"/>
      <c r="E449" s="6"/>
      <c r="F449" s="26" t="str">
        <f aca="false">IF(A449="","",MONTH(A449))</f>
        <v/>
      </c>
      <c r="G449" s="26" t="str">
        <f aca="false">IF(A449="","",YEAR(A449))</f>
        <v/>
      </c>
      <c r="H449" s="11" t="str">
        <f aca="false">IF(OR(C449="",B449&lt;&gt;"Pengeluaran"),"",IFERROR(INDEX(Dashboard!$B$18:$B$39,MATCH(C449,Dashboard!$A$18:$A$39,0)),""))</f>
        <v/>
      </c>
    </row>
    <row r="450" customFormat="false" ht="15" hidden="false" customHeight="false" outlineLevel="0" collapsed="false">
      <c r="A450" s="24"/>
      <c r="B450" s="25"/>
      <c r="C450" s="25"/>
      <c r="D450" s="25"/>
      <c r="E450" s="6"/>
      <c r="F450" s="26" t="str">
        <f aca="false">IF(A450="","",MONTH(A450))</f>
        <v/>
      </c>
      <c r="G450" s="26" t="str">
        <f aca="false">IF(A450="","",YEAR(A450))</f>
        <v/>
      </c>
      <c r="H450" s="11" t="str">
        <f aca="false">IF(OR(C450="",B450&lt;&gt;"Pengeluaran"),"",IFERROR(INDEX(Dashboard!$B$18:$B$39,MATCH(C450,Dashboard!$A$18:$A$39,0)),""))</f>
        <v/>
      </c>
    </row>
    <row r="451" customFormat="false" ht="15" hidden="false" customHeight="false" outlineLevel="0" collapsed="false">
      <c r="A451" s="24"/>
      <c r="B451" s="25"/>
      <c r="C451" s="25"/>
      <c r="D451" s="25"/>
      <c r="E451" s="6"/>
      <c r="F451" s="26" t="str">
        <f aca="false">IF(A451="","",MONTH(A451))</f>
        <v/>
      </c>
      <c r="G451" s="26" t="str">
        <f aca="false">IF(A451="","",YEAR(A451))</f>
        <v/>
      </c>
      <c r="H451" s="11" t="str">
        <f aca="false">IF(OR(C451="",B451&lt;&gt;"Pengeluaran"),"",IFERROR(INDEX(Dashboard!$B$18:$B$39,MATCH(C451,Dashboard!$A$18:$A$39,0)),""))</f>
        <v/>
      </c>
    </row>
    <row r="452" customFormat="false" ht="15" hidden="false" customHeight="false" outlineLevel="0" collapsed="false">
      <c r="A452" s="24"/>
      <c r="B452" s="25"/>
      <c r="C452" s="25"/>
      <c r="D452" s="25"/>
      <c r="E452" s="6"/>
      <c r="F452" s="26" t="str">
        <f aca="false">IF(A452="","",MONTH(A452))</f>
        <v/>
      </c>
      <c r="G452" s="26" t="str">
        <f aca="false">IF(A452="","",YEAR(A452))</f>
        <v/>
      </c>
      <c r="H452" s="11" t="str">
        <f aca="false">IF(OR(C452="",B452&lt;&gt;"Pengeluaran"),"",IFERROR(INDEX(Dashboard!$B$18:$B$39,MATCH(C452,Dashboard!$A$18:$A$39,0)),""))</f>
        <v/>
      </c>
    </row>
    <row r="453" customFormat="false" ht="15" hidden="false" customHeight="false" outlineLevel="0" collapsed="false">
      <c r="A453" s="24"/>
      <c r="B453" s="25"/>
      <c r="C453" s="25"/>
      <c r="D453" s="25"/>
      <c r="E453" s="6"/>
      <c r="F453" s="26" t="str">
        <f aca="false">IF(A453="","",MONTH(A453))</f>
        <v/>
      </c>
      <c r="G453" s="26" t="str">
        <f aca="false">IF(A453="","",YEAR(A453))</f>
        <v/>
      </c>
      <c r="H453" s="11" t="str">
        <f aca="false">IF(OR(C453="",B453&lt;&gt;"Pengeluaran"),"",IFERROR(INDEX(Dashboard!$B$18:$B$39,MATCH(C453,Dashboard!$A$18:$A$39,0)),""))</f>
        <v/>
      </c>
    </row>
    <row r="454" customFormat="false" ht="15" hidden="false" customHeight="false" outlineLevel="0" collapsed="false">
      <c r="A454" s="24"/>
      <c r="B454" s="25"/>
      <c r="C454" s="25"/>
      <c r="D454" s="25"/>
      <c r="E454" s="6"/>
      <c r="F454" s="26" t="str">
        <f aca="false">IF(A454="","",MONTH(A454))</f>
        <v/>
      </c>
      <c r="G454" s="26" t="str">
        <f aca="false">IF(A454="","",YEAR(A454))</f>
        <v/>
      </c>
      <c r="H454" s="11" t="str">
        <f aca="false">IF(OR(C454="",B454&lt;&gt;"Pengeluaran"),"",IFERROR(INDEX(Dashboard!$B$18:$B$39,MATCH(C454,Dashboard!$A$18:$A$39,0)),""))</f>
        <v/>
      </c>
    </row>
    <row r="455" customFormat="false" ht="15" hidden="false" customHeight="false" outlineLevel="0" collapsed="false">
      <c r="A455" s="24"/>
      <c r="B455" s="25"/>
      <c r="C455" s="25"/>
      <c r="D455" s="25"/>
      <c r="E455" s="6"/>
      <c r="F455" s="26" t="str">
        <f aca="false">IF(A455="","",MONTH(A455))</f>
        <v/>
      </c>
      <c r="G455" s="26" t="str">
        <f aca="false">IF(A455="","",YEAR(A455))</f>
        <v/>
      </c>
      <c r="H455" s="11" t="str">
        <f aca="false">IF(OR(C455="",B455&lt;&gt;"Pengeluaran"),"",IFERROR(INDEX(Dashboard!$B$18:$B$39,MATCH(C455,Dashboard!$A$18:$A$39,0)),""))</f>
        <v/>
      </c>
    </row>
    <row r="456" customFormat="false" ht="15" hidden="false" customHeight="false" outlineLevel="0" collapsed="false">
      <c r="A456" s="24"/>
      <c r="B456" s="25"/>
      <c r="C456" s="25"/>
      <c r="D456" s="25"/>
      <c r="E456" s="6"/>
      <c r="F456" s="26" t="str">
        <f aca="false">IF(A456="","",MONTH(A456))</f>
        <v/>
      </c>
      <c r="G456" s="26" t="str">
        <f aca="false">IF(A456="","",YEAR(A456))</f>
        <v/>
      </c>
      <c r="H456" s="11" t="str">
        <f aca="false">IF(OR(C456="",B456&lt;&gt;"Pengeluaran"),"",IFERROR(INDEX(Dashboard!$B$18:$B$39,MATCH(C456,Dashboard!$A$18:$A$39,0)),""))</f>
        <v/>
      </c>
    </row>
    <row r="457" customFormat="false" ht="15" hidden="false" customHeight="false" outlineLevel="0" collapsed="false">
      <c r="A457" s="24"/>
      <c r="B457" s="25"/>
      <c r="C457" s="25"/>
      <c r="D457" s="25"/>
      <c r="E457" s="6"/>
      <c r="F457" s="26" t="str">
        <f aca="false">IF(A457="","",MONTH(A457))</f>
        <v/>
      </c>
      <c r="G457" s="26" t="str">
        <f aca="false">IF(A457="","",YEAR(A457))</f>
        <v/>
      </c>
      <c r="H457" s="11" t="str">
        <f aca="false">IF(OR(C457="",B457&lt;&gt;"Pengeluaran"),"",IFERROR(INDEX(Dashboard!$B$18:$B$39,MATCH(C457,Dashboard!$A$18:$A$39,0)),""))</f>
        <v/>
      </c>
    </row>
    <row r="458" customFormat="false" ht="15" hidden="false" customHeight="false" outlineLevel="0" collapsed="false">
      <c r="A458" s="24"/>
      <c r="B458" s="25"/>
      <c r="C458" s="25"/>
      <c r="D458" s="25"/>
      <c r="E458" s="6"/>
      <c r="F458" s="26" t="str">
        <f aca="false">IF(A458="","",MONTH(A458))</f>
        <v/>
      </c>
      <c r="G458" s="26" t="str">
        <f aca="false">IF(A458="","",YEAR(A458))</f>
        <v/>
      </c>
      <c r="H458" s="11" t="str">
        <f aca="false">IF(OR(C458="",B458&lt;&gt;"Pengeluaran"),"",IFERROR(INDEX(Dashboard!$B$18:$B$39,MATCH(C458,Dashboard!$A$18:$A$39,0)),""))</f>
        <v/>
      </c>
    </row>
    <row r="459" customFormat="false" ht="15" hidden="false" customHeight="false" outlineLevel="0" collapsed="false">
      <c r="A459" s="24"/>
      <c r="B459" s="25"/>
      <c r="C459" s="25"/>
      <c r="D459" s="25"/>
      <c r="E459" s="6"/>
      <c r="F459" s="26" t="str">
        <f aca="false">IF(A459="","",MONTH(A459))</f>
        <v/>
      </c>
      <c r="G459" s="26" t="str">
        <f aca="false">IF(A459="","",YEAR(A459))</f>
        <v/>
      </c>
      <c r="H459" s="11" t="str">
        <f aca="false">IF(OR(C459="",B459&lt;&gt;"Pengeluaran"),"",IFERROR(INDEX(Dashboard!$B$18:$B$39,MATCH(C459,Dashboard!$A$18:$A$39,0)),""))</f>
        <v/>
      </c>
    </row>
    <row r="460" customFormat="false" ht="15" hidden="false" customHeight="false" outlineLevel="0" collapsed="false">
      <c r="A460" s="24"/>
      <c r="B460" s="25"/>
      <c r="C460" s="25"/>
      <c r="D460" s="25"/>
      <c r="E460" s="6"/>
      <c r="F460" s="26" t="str">
        <f aca="false">IF(A460="","",MONTH(A460))</f>
        <v/>
      </c>
      <c r="G460" s="26" t="str">
        <f aca="false">IF(A460="","",YEAR(A460))</f>
        <v/>
      </c>
      <c r="H460" s="11" t="str">
        <f aca="false">IF(OR(C460="",B460&lt;&gt;"Pengeluaran"),"",IFERROR(INDEX(Dashboard!$B$18:$B$39,MATCH(C460,Dashboard!$A$18:$A$39,0)),""))</f>
        <v/>
      </c>
    </row>
    <row r="461" customFormat="false" ht="15" hidden="false" customHeight="false" outlineLevel="0" collapsed="false">
      <c r="A461" s="24"/>
      <c r="B461" s="25"/>
      <c r="C461" s="25"/>
      <c r="D461" s="25"/>
      <c r="E461" s="6"/>
      <c r="F461" s="26" t="str">
        <f aca="false">IF(A461="","",MONTH(A461))</f>
        <v/>
      </c>
      <c r="G461" s="26" t="str">
        <f aca="false">IF(A461="","",YEAR(A461))</f>
        <v/>
      </c>
      <c r="H461" s="11" t="str">
        <f aca="false">IF(OR(C461="",B461&lt;&gt;"Pengeluaran"),"",IFERROR(INDEX(Dashboard!$B$18:$B$39,MATCH(C461,Dashboard!$A$18:$A$39,0)),""))</f>
        <v/>
      </c>
    </row>
    <row r="462" customFormat="false" ht="15" hidden="false" customHeight="false" outlineLevel="0" collapsed="false">
      <c r="A462" s="24"/>
      <c r="B462" s="25"/>
      <c r="C462" s="25"/>
      <c r="D462" s="25"/>
      <c r="E462" s="6"/>
      <c r="F462" s="26" t="str">
        <f aca="false">IF(A462="","",MONTH(A462))</f>
        <v/>
      </c>
      <c r="G462" s="26" t="str">
        <f aca="false">IF(A462="","",YEAR(A462))</f>
        <v/>
      </c>
      <c r="H462" s="11" t="str">
        <f aca="false">IF(OR(C462="",B462&lt;&gt;"Pengeluaran"),"",IFERROR(INDEX(Dashboard!$B$18:$B$39,MATCH(C462,Dashboard!$A$18:$A$39,0)),""))</f>
        <v/>
      </c>
    </row>
    <row r="463" customFormat="false" ht="15" hidden="false" customHeight="false" outlineLevel="0" collapsed="false">
      <c r="A463" s="24"/>
      <c r="B463" s="25"/>
      <c r="C463" s="25"/>
      <c r="D463" s="25"/>
      <c r="E463" s="6"/>
      <c r="F463" s="26" t="str">
        <f aca="false">IF(A463="","",MONTH(A463))</f>
        <v/>
      </c>
      <c r="G463" s="26" t="str">
        <f aca="false">IF(A463="","",YEAR(A463))</f>
        <v/>
      </c>
      <c r="H463" s="11" t="str">
        <f aca="false">IF(OR(C463="",B463&lt;&gt;"Pengeluaran"),"",IFERROR(INDEX(Dashboard!$B$18:$B$39,MATCH(C463,Dashboard!$A$18:$A$39,0)),""))</f>
        <v/>
      </c>
    </row>
    <row r="464" customFormat="false" ht="15" hidden="false" customHeight="false" outlineLevel="0" collapsed="false">
      <c r="A464" s="24"/>
      <c r="B464" s="25"/>
      <c r="C464" s="25"/>
      <c r="D464" s="25"/>
      <c r="E464" s="6"/>
      <c r="F464" s="26" t="str">
        <f aca="false">IF(A464="","",MONTH(A464))</f>
        <v/>
      </c>
      <c r="G464" s="26" t="str">
        <f aca="false">IF(A464="","",YEAR(A464))</f>
        <v/>
      </c>
      <c r="H464" s="11" t="str">
        <f aca="false">IF(OR(C464="",B464&lt;&gt;"Pengeluaran"),"",IFERROR(INDEX(Dashboard!$B$18:$B$39,MATCH(C464,Dashboard!$A$18:$A$39,0)),""))</f>
        <v/>
      </c>
    </row>
    <row r="465" customFormat="false" ht="15" hidden="false" customHeight="false" outlineLevel="0" collapsed="false">
      <c r="A465" s="24"/>
      <c r="B465" s="25"/>
      <c r="C465" s="25"/>
      <c r="D465" s="25"/>
      <c r="E465" s="6"/>
      <c r="F465" s="26" t="str">
        <f aca="false">IF(A465="","",MONTH(A465))</f>
        <v/>
      </c>
      <c r="G465" s="26" t="str">
        <f aca="false">IF(A465="","",YEAR(A465))</f>
        <v/>
      </c>
      <c r="H465" s="11" t="str">
        <f aca="false">IF(OR(C465="",B465&lt;&gt;"Pengeluaran"),"",IFERROR(INDEX(Dashboard!$B$18:$B$39,MATCH(C465,Dashboard!$A$18:$A$39,0)),""))</f>
        <v/>
      </c>
    </row>
    <row r="466" customFormat="false" ht="15" hidden="false" customHeight="false" outlineLevel="0" collapsed="false">
      <c r="A466" s="24"/>
      <c r="B466" s="25"/>
      <c r="C466" s="25"/>
      <c r="D466" s="25"/>
      <c r="E466" s="6"/>
      <c r="F466" s="26" t="str">
        <f aca="false">IF(A466="","",MONTH(A466))</f>
        <v/>
      </c>
      <c r="G466" s="26" t="str">
        <f aca="false">IF(A466="","",YEAR(A466))</f>
        <v/>
      </c>
      <c r="H466" s="11" t="str">
        <f aca="false">IF(OR(C466="",B466&lt;&gt;"Pengeluaran"),"",IFERROR(INDEX(Dashboard!$B$18:$B$39,MATCH(C466,Dashboard!$A$18:$A$39,0)),""))</f>
        <v/>
      </c>
    </row>
    <row r="467" customFormat="false" ht="15" hidden="false" customHeight="false" outlineLevel="0" collapsed="false">
      <c r="A467" s="24"/>
      <c r="B467" s="25"/>
      <c r="C467" s="25"/>
      <c r="D467" s="25"/>
      <c r="E467" s="6"/>
      <c r="F467" s="26" t="str">
        <f aca="false">IF(A467="","",MONTH(A467))</f>
        <v/>
      </c>
      <c r="G467" s="26" t="str">
        <f aca="false">IF(A467="","",YEAR(A467))</f>
        <v/>
      </c>
      <c r="H467" s="11" t="str">
        <f aca="false">IF(OR(C467="",B467&lt;&gt;"Pengeluaran"),"",IFERROR(INDEX(Dashboard!$B$18:$B$39,MATCH(C467,Dashboard!$A$18:$A$39,0)),""))</f>
        <v/>
      </c>
    </row>
    <row r="468" customFormat="false" ht="15" hidden="false" customHeight="false" outlineLevel="0" collapsed="false">
      <c r="A468" s="24"/>
      <c r="B468" s="25"/>
      <c r="C468" s="25"/>
      <c r="D468" s="25"/>
      <c r="E468" s="6"/>
      <c r="F468" s="26" t="str">
        <f aca="false">IF(A468="","",MONTH(A468))</f>
        <v/>
      </c>
      <c r="G468" s="26" t="str">
        <f aca="false">IF(A468="","",YEAR(A468))</f>
        <v/>
      </c>
      <c r="H468" s="11" t="str">
        <f aca="false">IF(OR(C468="",B468&lt;&gt;"Pengeluaran"),"",IFERROR(INDEX(Dashboard!$B$18:$B$39,MATCH(C468,Dashboard!$A$18:$A$39,0)),""))</f>
        <v/>
      </c>
    </row>
    <row r="469" customFormat="false" ht="15" hidden="false" customHeight="false" outlineLevel="0" collapsed="false">
      <c r="A469" s="24"/>
      <c r="B469" s="25"/>
      <c r="C469" s="25"/>
      <c r="D469" s="25"/>
      <c r="E469" s="6"/>
      <c r="F469" s="26" t="str">
        <f aca="false">IF(A469="","",MONTH(A469))</f>
        <v/>
      </c>
      <c r="G469" s="26" t="str">
        <f aca="false">IF(A469="","",YEAR(A469))</f>
        <v/>
      </c>
      <c r="H469" s="11" t="str">
        <f aca="false">IF(OR(C469="",B469&lt;&gt;"Pengeluaran"),"",IFERROR(INDEX(Dashboard!$B$18:$B$39,MATCH(C469,Dashboard!$A$18:$A$39,0)),""))</f>
        <v/>
      </c>
    </row>
    <row r="470" customFormat="false" ht="15" hidden="false" customHeight="false" outlineLevel="0" collapsed="false">
      <c r="A470" s="24"/>
      <c r="B470" s="25"/>
      <c r="C470" s="25"/>
      <c r="D470" s="25"/>
      <c r="E470" s="6"/>
      <c r="F470" s="26" t="str">
        <f aca="false">IF(A470="","",MONTH(A470))</f>
        <v/>
      </c>
      <c r="G470" s="26" t="str">
        <f aca="false">IF(A470="","",YEAR(A470))</f>
        <v/>
      </c>
      <c r="H470" s="11" t="str">
        <f aca="false">IF(OR(C470="",B470&lt;&gt;"Pengeluaran"),"",IFERROR(INDEX(Dashboard!$B$18:$B$39,MATCH(C470,Dashboard!$A$18:$A$39,0)),""))</f>
        <v/>
      </c>
    </row>
    <row r="471" customFormat="false" ht="15" hidden="false" customHeight="false" outlineLevel="0" collapsed="false">
      <c r="A471" s="24"/>
      <c r="B471" s="25"/>
      <c r="C471" s="25"/>
      <c r="D471" s="25"/>
      <c r="E471" s="6"/>
      <c r="F471" s="26" t="str">
        <f aca="false">IF(A471="","",MONTH(A471))</f>
        <v/>
      </c>
      <c r="G471" s="26" t="str">
        <f aca="false">IF(A471="","",YEAR(A471))</f>
        <v/>
      </c>
      <c r="H471" s="11" t="str">
        <f aca="false">IF(OR(C471="",B471&lt;&gt;"Pengeluaran"),"",IFERROR(INDEX(Dashboard!$B$18:$B$39,MATCH(C471,Dashboard!$A$18:$A$39,0)),""))</f>
        <v/>
      </c>
    </row>
    <row r="472" customFormat="false" ht="15" hidden="false" customHeight="false" outlineLevel="0" collapsed="false">
      <c r="A472" s="24"/>
      <c r="B472" s="25"/>
      <c r="C472" s="25"/>
      <c r="D472" s="25"/>
      <c r="E472" s="6"/>
      <c r="F472" s="26" t="str">
        <f aca="false">IF(A472="","",MONTH(A472))</f>
        <v/>
      </c>
      <c r="G472" s="26" t="str">
        <f aca="false">IF(A472="","",YEAR(A472))</f>
        <v/>
      </c>
      <c r="H472" s="11" t="str">
        <f aca="false">IF(OR(C472="",B472&lt;&gt;"Pengeluaran"),"",IFERROR(INDEX(Dashboard!$B$18:$B$39,MATCH(C472,Dashboard!$A$18:$A$39,0)),""))</f>
        <v/>
      </c>
    </row>
    <row r="473" customFormat="false" ht="15" hidden="false" customHeight="false" outlineLevel="0" collapsed="false">
      <c r="A473" s="24"/>
      <c r="B473" s="25"/>
      <c r="C473" s="25"/>
      <c r="D473" s="25"/>
      <c r="E473" s="6"/>
      <c r="F473" s="26" t="str">
        <f aca="false">IF(A473="","",MONTH(A473))</f>
        <v/>
      </c>
      <c r="G473" s="26" t="str">
        <f aca="false">IF(A473="","",YEAR(A473))</f>
        <v/>
      </c>
      <c r="H473" s="11" t="str">
        <f aca="false">IF(OR(C473="",B473&lt;&gt;"Pengeluaran"),"",IFERROR(INDEX(Dashboard!$B$18:$B$39,MATCH(C473,Dashboard!$A$18:$A$39,0)),""))</f>
        <v/>
      </c>
    </row>
    <row r="474" customFormat="false" ht="15" hidden="false" customHeight="false" outlineLevel="0" collapsed="false">
      <c r="A474" s="24"/>
      <c r="B474" s="25"/>
      <c r="C474" s="25"/>
      <c r="D474" s="25"/>
      <c r="E474" s="6"/>
      <c r="F474" s="26" t="str">
        <f aca="false">IF(A474="","",MONTH(A474))</f>
        <v/>
      </c>
      <c r="G474" s="26" t="str">
        <f aca="false">IF(A474="","",YEAR(A474))</f>
        <v/>
      </c>
      <c r="H474" s="11" t="str">
        <f aca="false">IF(OR(C474="",B474&lt;&gt;"Pengeluaran"),"",IFERROR(INDEX(Dashboard!$B$18:$B$39,MATCH(C474,Dashboard!$A$18:$A$39,0)),""))</f>
        <v/>
      </c>
    </row>
    <row r="475" customFormat="false" ht="15" hidden="false" customHeight="false" outlineLevel="0" collapsed="false">
      <c r="A475" s="24"/>
      <c r="B475" s="25"/>
      <c r="C475" s="25"/>
      <c r="D475" s="25"/>
      <c r="E475" s="6"/>
      <c r="F475" s="26" t="str">
        <f aca="false">IF(A475="","",MONTH(A475))</f>
        <v/>
      </c>
      <c r="G475" s="26" t="str">
        <f aca="false">IF(A475="","",YEAR(A475))</f>
        <v/>
      </c>
      <c r="H475" s="11" t="str">
        <f aca="false">IF(OR(C475="",B475&lt;&gt;"Pengeluaran"),"",IFERROR(INDEX(Dashboard!$B$18:$B$39,MATCH(C475,Dashboard!$A$18:$A$39,0)),""))</f>
        <v/>
      </c>
    </row>
    <row r="476" customFormat="false" ht="15" hidden="false" customHeight="false" outlineLevel="0" collapsed="false">
      <c r="A476" s="24"/>
      <c r="B476" s="25"/>
      <c r="C476" s="25"/>
      <c r="D476" s="25"/>
      <c r="E476" s="6"/>
      <c r="F476" s="26" t="str">
        <f aca="false">IF(A476="","",MONTH(A476))</f>
        <v/>
      </c>
      <c r="G476" s="26" t="str">
        <f aca="false">IF(A476="","",YEAR(A476))</f>
        <v/>
      </c>
      <c r="H476" s="11" t="str">
        <f aca="false">IF(OR(C476="",B476&lt;&gt;"Pengeluaran"),"",IFERROR(INDEX(Dashboard!$B$18:$B$39,MATCH(C476,Dashboard!$A$18:$A$39,0)),""))</f>
        <v/>
      </c>
    </row>
    <row r="477" customFormat="false" ht="15" hidden="false" customHeight="false" outlineLevel="0" collapsed="false">
      <c r="A477" s="24"/>
      <c r="B477" s="25"/>
      <c r="C477" s="25"/>
      <c r="D477" s="25"/>
      <c r="E477" s="6"/>
      <c r="F477" s="26" t="str">
        <f aca="false">IF(A477="","",MONTH(A477))</f>
        <v/>
      </c>
      <c r="G477" s="26" t="str">
        <f aca="false">IF(A477="","",YEAR(A477))</f>
        <v/>
      </c>
      <c r="H477" s="11" t="str">
        <f aca="false">IF(OR(C477="",B477&lt;&gt;"Pengeluaran"),"",IFERROR(INDEX(Dashboard!$B$18:$B$39,MATCH(C477,Dashboard!$A$18:$A$39,0)),""))</f>
        <v/>
      </c>
    </row>
    <row r="478" customFormat="false" ht="15" hidden="false" customHeight="false" outlineLevel="0" collapsed="false">
      <c r="A478" s="24"/>
      <c r="B478" s="25"/>
      <c r="C478" s="25"/>
      <c r="D478" s="25"/>
      <c r="E478" s="6"/>
      <c r="F478" s="26" t="str">
        <f aca="false">IF(A478="","",MONTH(A478))</f>
        <v/>
      </c>
      <c r="G478" s="26" t="str">
        <f aca="false">IF(A478="","",YEAR(A478))</f>
        <v/>
      </c>
      <c r="H478" s="11" t="str">
        <f aca="false">IF(OR(C478="",B478&lt;&gt;"Pengeluaran"),"",IFERROR(INDEX(Dashboard!$B$18:$B$39,MATCH(C478,Dashboard!$A$18:$A$39,0)),""))</f>
        <v/>
      </c>
    </row>
    <row r="479" customFormat="false" ht="15" hidden="false" customHeight="false" outlineLevel="0" collapsed="false">
      <c r="A479" s="24"/>
      <c r="B479" s="25"/>
      <c r="C479" s="25"/>
      <c r="D479" s="25"/>
      <c r="E479" s="6"/>
      <c r="F479" s="26" t="str">
        <f aca="false">IF(A479="","",MONTH(A479))</f>
        <v/>
      </c>
      <c r="G479" s="26" t="str">
        <f aca="false">IF(A479="","",YEAR(A479))</f>
        <v/>
      </c>
      <c r="H479" s="11" t="str">
        <f aca="false">IF(OR(C479="",B479&lt;&gt;"Pengeluaran"),"",IFERROR(INDEX(Dashboard!$B$18:$B$39,MATCH(C479,Dashboard!$A$18:$A$39,0)),""))</f>
        <v/>
      </c>
    </row>
    <row r="480" customFormat="false" ht="15" hidden="false" customHeight="false" outlineLevel="0" collapsed="false">
      <c r="A480" s="24"/>
      <c r="B480" s="25"/>
      <c r="C480" s="25"/>
      <c r="D480" s="25"/>
      <c r="E480" s="6"/>
      <c r="F480" s="26" t="str">
        <f aca="false">IF(A480="","",MONTH(A480))</f>
        <v/>
      </c>
      <c r="G480" s="26" t="str">
        <f aca="false">IF(A480="","",YEAR(A480))</f>
        <v/>
      </c>
      <c r="H480" s="11" t="str">
        <f aca="false">IF(OR(C480="",B480&lt;&gt;"Pengeluaran"),"",IFERROR(INDEX(Dashboard!$B$18:$B$39,MATCH(C480,Dashboard!$A$18:$A$39,0)),""))</f>
        <v/>
      </c>
    </row>
    <row r="481" customFormat="false" ht="15" hidden="false" customHeight="false" outlineLevel="0" collapsed="false">
      <c r="A481" s="24"/>
      <c r="B481" s="25"/>
      <c r="C481" s="25"/>
      <c r="D481" s="25"/>
      <c r="E481" s="6"/>
      <c r="F481" s="26" t="str">
        <f aca="false">IF(A481="","",MONTH(A481))</f>
        <v/>
      </c>
      <c r="G481" s="26" t="str">
        <f aca="false">IF(A481="","",YEAR(A481))</f>
        <v/>
      </c>
      <c r="H481" s="11" t="str">
        <f aca="false">IF(OR(C481="",B481&lt;&gt;"Pengeluaran"),"",IFERROR(INDEX(Dashboard!$B$18:$B$39,MATCH(C481,Dashboard!$A$18:$A$39,0)),""))</f>
        <v/>
      </c>
    </row>
    <row r="482" customFormat="false" ht="15" hidden="false" customHeight="false" outlineLevel="0" collapsed="false">
      <c r="A482" s="24"/>
      <c r="B482" s="25"/>
      <c r="C482" s="25"/>
      <c r="D482" s="25"/>
      <c r="E482" s="6"/>
      <c r="F482" s="26" t="str">
        <f aca="false">IF(A482="","",MONTH(A482))</f>
        <v/>
      </c>
      <c r="G482" s="26" t="str">
        <f aca="false">IF(A482="","",YEAR(A482))</f>
        <v/>
      </c>
      <c r="H482" s="11" t="str">
        <f aca="false">IF(OR(C482="",B482&lt;&gt;"Pengeluaran"),"",IFERROR(INDEX(Dashboard!$B$18:$B$39,MATCH(C482,Dashboard!$A$18:$A$39,0)),""))</f>
        <v/>
      </c>
    </row>
    <row r="483" customFormat="false" ht="15" hidden="false" customHeight="false" outlineLevel="0" collapsed="false">
      <c r="A483" s="24"/>
      <c r="B483" s="25"/>
      <c r="C483" s="25"/>
      <c r="D483" s="25"/>
      <c r="E483" s="6"/>
      <c r="F483" s="26" t="str">
        <f aca="false">IF(A483="","",MONTH(A483))</f>
        <v/>
      </c>
      <c r="G483" s="26" t="str">
        <f aca="false">IF(A483="","",YEAR(A483))</f>
        <v/>
      </c>
      <c r="H483" s="11" t="str">
        <f aca="false">IF(OR(C483="",B483&lt;&gt;"Pengeluaran"),"",IFERROR(INDEX(Dashboard!$B$18:$B$39,MATCH(C483,Dashboard!$A$18:$A$39,0)),""))</f>
        <v/>
      </c>
    </row>
    <row r="484" customFormat="false" ht="15" hidden="false" customHeight="false" outlineLevel="0" collapsed="false">
      <c r="A484" s="24"/>
      <c r="B484" s="25"/>
      <c r="C484" s="25"/>
      <c r="D484" s="25"/>
      <c r="E484" s="6"/>
      <c r="F484" s="26" t="str">
        <f aca="false">IF(A484="","",MONTH(A484))</f>
        <v/>
      </c>
      <c r="G484" s="26" t="str">
        <f aca="false">IF(A484="","",YEAR(A484))</f>
        <v/>
      </c>
      <c r="H484" s="11" t="str">
        <f aca="false">IF(OR(C484="",B484&lt;&gt;"Pengeluaran"),"",IFERROR(INDEX(Dashboard!$B$18:$B$39,MATCH(C484,Dashboard!$A$18:$A$39,0)),""))</f>
        <v/>
      </c>
    </row>
    <row r="485" customFormat="false" ht="15" hidden="false" customHeight="false" outlineLevel="0" collapsed="false">
      <c r="A485" s="24"/>
      <c r="B485" s="25"/>
      <c r="C485" s="25"/>
      <c r="D485" s="25"/>
      <c r="E485" s="6"/>
      <c r="F485" s="26" t="str">
        <f aca="false">IF(A485="","",MONTH(A485))</f>
        <v/>
      </c>
      <c r="G485" s="26" t="str">
        <f aca="false">IF(A485="","",YEAR(A485))</f>
        <v/>
      </c>
      <c r="H485" s="11" t="str">
        <f aca="false">IF(OR(C485="",B485&lt;&gt;"Pengeluaran"),"",IFERROR(INDEX(Dashboard!$B$18:$B$39,MATCH(C485,Dashboard!$A$18:$A$39,0)),""))</f>
        <v/>
      </c>
    </row>
    <row r="486" customFormat="false" ht="15" hidden="false" customHeight="false" outlineLevel="0" collapsed="false">
      <c r="A486" s="24"/>
      <c r="B486" s="25"/>
      <c r="C486" s="25"/>
      <c r="D486" s="25"/>
      <c r="E486" s="6"/>
      <c r="F486" s="26" t="str">
        <f aca="false">IF(A486="","",MONTH(A486))</f>
        <v/>
      </c>
      <c r="G486" s="26" t="str">
        <f aca="false">IF(A486="","",YEAR(A486))</f>
        <v/>
      </c>
      <c r="H486" s="11" t="str">
        <f aca="false">IF(OR(C486="",B486&lt;&gt;"Pengeluaran"),"",IFERROR(INDEX(Dashboard!$B$18:$B$39,MATCH(C486,Dashboard!$A$18:$A$39,0)),""))</f>
        <v/>
      </c>
    </row>
    <row r="487" customFormat="false" ht="15" hidden="false" customHeight="false" outlineLevel="0" collapsed="false">
      <c r="A487" s="24"/>
      <c r="B487" s="25"/>
      <c r="C487" s="25"/>
      <c r="D487" s="25"/>
      <c r="E487" s="6"/>
      <c r="F487" s="26" t="str">
        <f aca="false">IF(A487="","",MONTH(A487))</f>
        <v/>
      </c>
      <c r="G487" s="26" t="str">
        <f aca="false">IF(A487="","",YEAR(A487))</f>
        <v/>
      </c>
      <c r="H487" s="11" t="str">
        <f aca="false">IF(OR(C487="",B487&lt;&gt;"Pengeluaran"),"",IFERROR(INDEX(Dashboard!$B$18:$B$39,MATCH(C487,Dashboard!$A$18:$A$39,0)),""))</f>
        <v/>
      </c>
    </row>
    <row r="488" customFormat="false" ht="15" hidden="false" customHeight="false" outlineLevel="0" collapsed="false">
      <c r="A488" s="24"/>
      <c r="B488" s="25"/>
      <c r="C488" s="25"/>
      <c r="D488" s="25"/>
      <c r="E488" s="6"/>
      <c r="F488" s="26" t="str">
        <f aca="false">IF(A488="","",MONTH(A488))</f>
        <v/>
      </c>
      <c r="G488" s="26" t="str">
        <f aca="false">IF(A488="","",YEAR(A488))</f>
        <v/>
      </c>
      <c r="H488" s="11" t="str">
        <f aca="false">IF(OR(C488="",B488&lt;&gt;"Pengeluaran"),"",IFERROR(INDEX(Dashboard!$B$18:$B$39,MATCH(C488,Dashboard!$A$18:$A$39,0)),""))</f>
        <v/>
      </c>
    </row>
    <row r="489" customFormat="false" ht="15" hidden="false" customHeight="false" outlineLevel="0" collapsed="false">
      <c r="A489" s="24"/>
      <c r="B489" s="25"/>
      <c r="C489" s="25"/>
      <c r="D489" s="25"/>
      <c r="E489" s="6"/>
      <c r="F489" s="26" t="str">
        <f aca="false">IF(A489="","",MONTH(A489))</f>
        <v/>
      </c>
      <c r="G489" s="26" t="str">
        <f aca="false">IF(A489="","",YEAR(A489))</f>
        <v/>
      </c>
      <c r="H489" s="11" t="str">
        <f aca="false">IF(OR(C489="",B489&lt;&gt;"Pengeluaran"),"",IFERROR(INDEX(Dashboard!$B$18:$B$39,MATCH(C489,Dashboard!$A$18:$A$39,0)),""))</f>
        <v/>
      </c>
    </row>
    <row r="490" customFormat="false" ht="15" hidden="false" customHeight="false" outlineLevel="0" collapsed="false">
      <c r="A490" s="24"/>
      <c r="B490" s="25"/>
      <c r="C490" s="25"/>
      <c r="D490" s="25"/>
      <c r="E490" s="6"/>
      <c r="F490" s="26" t="str">
        <f aca="false">IF(A490="","",MONTH(A490))</f>
        <v/>
      </c>
      <c r="G490" s="26" t="str">
        <f aca="false">IF(A490="","",YEAR(A490))</f>
        <v/>
      </c>
      <c r="H490" s="11" t="str">
        <f aca="false">IF(OR(C490="",B490&lt;&gt;"Pengeluaran"),"",IFERROR(INDEX(Dashboard!$B$18:$B$39,MATCH(C490,Dashboard!$A$18:$A$39,0)),""))</f>
        <v/>
      </c>
    </row>
    <row r="491" customFormat="false" ht="15" hidden="false" customHeight="false" outlineLevel="0" collapsed="false">
      <c r="A491" s="24"/>
      <c r="B491" s="25"/>
      <c r="C491" s="25"/>
      <c r="D491" s="25"/>
      <c r="E491" s="6"/>
      <c r="F491" s="26" t="str">
        <f aca="false">IF(A491="","",MONTH(A491))</f>
        <v/>
      </c>
      <c r="G491" s="26" t="str">
        <f aca="false">IF(A491="","",YEAR(A491))</f>
        <v/>
      </c>
      <c r="H491" s="11" t="str">
        <f aca="false">IF(OR(C491="",B491&lt;&gt;"Pengeluaran"),"",IFERROR(INDEX(Dashboard!$B$18:$B$39,MATCH(C491,Dashboard!$A$18:$A$39,0)),""))</f>
        <v/>
      </c>
    </row>
    <row r="492" customFormat="false" ht="15" hidden="false" customHeight="false" outlineLevel="0" collapsed="false">
      <c r="A492" s="24"/>
      <c r="B492" s="25"/>
      <c r="C492" s="25"/>
      <c r="D492" s="25"/>
      <c r="E492" s="6"/>
      <c r="F492" s="26" t="str">
        <f aca="false">IF(A492="","",MONTH(A492))</f>
        <v/>
      </c>
      <c r="G492" s="26" t="str">
        <f aca="false">IF(A492="","",YEAR(A492))</f>
        <v/>
      </c>
      <c r="H492" s="11" t="str">
        <f aca="false">IF(OR(C492="",B492&lt;&gt;"Pengeluaran"),"",IFERROR(INDEX(Dashboard!$B$18:$B$39,MATCH(C492,Dashboard!$A$18:$A$39,0)),""))</f>
        <v/>
      </c>
    </row>
    <row r="493" customFormat="false" ht="15" hidden="false" customHeight="false" outlineLevel="0" collapsed="false">
      <c r="A493" s="24"/>
      <c r="B493" s="25"/>
      <c r="C493" s="25"/>
      <c r="D493" s="25"/>
      <c r="E493" s="6"/>
      <c r="F493" s="26" t="str">
        <f aca="false">IF(A493="","",MONTH(A493))</f>
        <v/>
      </c>
      <c r="G493" s="26" t="str">
        <f aca="false">IF(A493="","",YEAR(A493))</f>
        <v/>
      </c>
      <c r="H493" s="11" t="str">
        <f aca="false">IF(OR(C493="",B493&lt;&gt;"Pengeluaran"),"",IFERROR(INDEX(Dashboard!$B$18:$B$39,MATCH(C493,Dashboard!$A$18:$A$39,0)),""))</f>
        <v/>
      </c>
    </row>
    <row r="494" customFormat="false" ht="15" hidden="false" customHeight="false" outlineLevel="0" collapsed="false">
      <c r="A494" s="24"/>
      <c r="B494" s="25"/>
      <c r="C494" s="25"/>
      <c r="D494" s="25"/>
      <c r="E494" s="6"/>
      <c r="F494" s="26" t="str">
        <f aca="false">IF(A494="","",MONTH(A494))</f>
        <v/>
      </c>
      <c r="G494" s="26" t="str">
        <f aca="false">IF(A494="","",YEAR(A494))</f>
        <v/>
      </c>
      <c r="H494" s="11" t="str">
        <f aca="false">IF(OR(C494="",B494&lt;&gt;"Pengeluaran"),"",IFERROR(INDEX(Dashboard!$B$18:$B$39,MATCH(C494,Dashboard!$A$18:$A$39,0)),""))</f>
        <v/>
      </c>
    </row>
    <row r="495" customFormat="false" ht="15" hidden="false" customHeight="false" outlineLevel="0" collapsed="false">
      <c r="A495" s="24"/>
      <c r="B495" s="25"/>
      <c r="C495" s="25"/>
      <c r="D495" s="25"/>
      <c r="E495" s="6"/>
      <c r="F495" s="26" t="str">
        <f aca="false">IF(A495="","",MONTH(A495))</f>
        <v/>
      </c>
      <c r="G495" s="26" t="str">
        <f aca="false">IF(A495="","",YEAR(A495))</f>
        <v/>
      </c>
      <c r="H495" s="11" t="str">
        <f aca="false">IF(OR(C495="",B495&lt;&gt;"Pengeluaran"),"",IFERROR(INDEX(Dashboard!$B$18:$B$39,MATCH(C495,Dashboard!$A$18:$A$39,0)),""))</f>
        <v/>
      </c>
    </row>
    <row r="496" customFormat="false" ht="15" hidden="false" customHeight="false" outlineLevel="0" collapsed="false">
      <c r="A496" s="24"/>
      <c r="B496" s="25"/>
      <c r="C496" s="25"/>
      <c r="D496" s="25"/>
      <c r="E496" s="6"/>
      <c r="F496" s="26" t="str">
        <f aca="false">IF(A496="","",MONTH(A496))</f>
        <v/>
      </c>
      <c r="G496" s="26" t="str">
        <f aca="false">IF(A496="","",YEAR(A496))</f>
        <v/>
      </c>
      <c r="H496" s="11" t="str">
        <f aca="false">IF(OR(C496="",B496&lt;&gt;"Pengeluaran"),"",IFERROR(INDEX(Dashboard!$B$18:$B$39,MATCH(C496,Dashboard!$A$18:$A$39,0)),""))</f>
        <v/>
      </c>
    </row>
    <row r="497" customFormat="false" ht="15" hidden="false" customHeight="false" outlineLevel="0" collapsed="false">
      <c r="A497" s="24"/>
      <c r="B497" s="25"/>
      <c r="C497" s="25"/>
      <c r="D497" s="25"/>
      <c r="E497" s="6"/>
      <c r="F497" s="26" t="str">
        <f aca="false">IF(A497="","",MONTH(A497))</f>
        <v/>
      </c>
      <c r="G497" s="26" t="str">
        <f aca="false">IF(A497="","",YEAR(A497))</f>
        <v/>
      </c>
      <c r="H497" s="11" t="str">
        <f aca="false">IF(OR(C497="",B497&lt;&gt;"Pengeluaran"),"",IFERROR(INDEX(Dashboard!$B$18:$B$39,MATCH(C497,Dashboard!$A$18:$A$39,0)),""))</f>
        <v/>
      </c>
    </row>
    <row r="498" customFormat="false" ht="15" hidden="false" customHeight="false" outlineLevel="0" collapsed="false">
      <c r="A498" s="24"/>
      <c r="B498" s="25"/>
      <c r="C498" s="25"/>
      <c r="D498" s="25"/>
      <c r="E498" s="6"/>
      <c r="F498" s="26" t="str">
        <f aca="false">IF(A498="","",MONTH(A498))</f>
        <v/>
      </c>
      <c r="G498" s="26" t="str">
        <f aca="false">IF(A498="","",YEAR(A498))</f>
        <v/>
      </c>
      <c r="H498" s="11" t="str">
        <f aca="false">IF(OR(C498="",B498&lt;&gt;"Pengeluaran"),"",IFERROR(INDEX(Dashboard!$B$18:$B$39,MATCH(C498,Dashboard!$A$18:$A$39,0)),""))</f>
        <v/>
      </c>
    </row>
    <row r="499" customFormat="false" ht="15" hidden="false" customHeight="false" outlineLevel="0" collapsed="false">
      <c r="A499" s="24"/>
      <c r="B499" s="25"/>
      <c r="C499" s="25"/>
      <c r="D499" s="25"/>
      <c r="E499" s="6"/>
      <c r="F499" s="26" t="str">
        <f aca="false">IF(A499="","",MONTH(A499))</f>
        <v/>
      </c>
      <c r="G499" s="26" t="str">
        <f aca="false">IF(A499="","",YEAR(A499))</f>
        <v/>
      </c>
      <c r="H499" s="11" t="str">
        <f aca="false">IF(OR(C499="",B499&lt;&gt;"Pengeluaran"),"",IFERROR(INDEX(Dashboard!$B$18:$B$39,MATCH(C499,Dashboard!$A$18:$A$39,0)),""))</f>
        <v/>
      </c>
    </row>
    <row r="500" customFormat="false" ht="15" hidden="false" customHeight="false" outlineLevel="0" collapsed="false">
      <c r="A500" s="24"/>
      <c r="B500" s="25"/>
      <c r="C500" s="25"/>
      <c r="D500" s="25"/>
      <c r="E500" s="6"/>
      <c r="F500" s="26" t="str">
        <f aca="false">IF(A500="","",MONTH(A500))</f>
        <v/>
      </c>
      <c r="G500" s="26" t="str">
        <f aca="false">IF(A500="","",YEAR(A500))</f>
        <v/>
      </c>
      <c r="H500" s="11" t="str">
        <f aca="false">IF(OR(C500="",B500&lt;&gt;"Pengeluaran"),"",IFERROR(INDEX(Dashboard!$B$18:$B$39,MATCH(C500,Dashboard!$A$18:$A$39,0)),""))</f>
        <v/>
      </c>
    </row>
    <row r="501" customFormat="false" ht="15" hidden="false" customHeight="false" outlineLevel="0" collapsed="false">
      <c r="A501" s="24"/>
      <c r="B501" s="25"/>
      <c r="C501" s="25"/>
      <c r="D501" s="25"/>
      <c r="E501" s="6"/>
      <c r="F501" s="26" t="str">
        <f aca="false">IF(A501="","",MONTH(A501))</f>
        <v/>
      </c>
      <c r="G501" s="26" t="str">
        <f aca="false">IF(A501="","",YEAR(A501))</f>
        <v/>
      </c>
      <c r="H501" s="11" t="str">
        <f aca="false">IF(OR(C501="",B501&lt;&gt;"Pengeluaran"),"",IFERROR(INDEX(Dashboard!$B$18:$B$39,MATCH(C501,Dashboard!$A$18:$A$39,0)),""))</f>
        <v/>
      </c>
    </row>
    <row r="502" customFormat="false" ht="15" hidden="false" customHeight="false" outlineLevel="0" collapsed="false">
      <c r="A502" s="24"/>
      <c r="B502" s="25"/>
      <c r="C502" s="25"/>
      <c r="D502" s="25"/>
      <c r="E502" s="6"/>
      <c r="F502" s="26" t="str">
        <f aca="false">IF(A502="","",MONTH(A502))</f>
        <v/>
      </c>
      <c r="G502" s="26" t="str">
        <f aca="false">IF(A502="","",YEAR(A502))</f>
        <v/>
      </c>
      <c r="H502" s="11" t="str">
        <f aca="false">IF(OR(C502="",B502&lt;&gt;"Pengeluaran"),"",IFERROR(INDEX(Dashboard!$B$18:$B$39,MATCH(C502,Dashboard!$A$18:$A$39,0)),""))</f>
        <v/>
      </c>
    </row>
    <row r="503" customFormat="false" ht="15" hidden="false" customHeight="false" outlineLevel="0" collapsed="false">
      <c r="A503" s="24"/>
      <c r="B503" s="25"/>
      <c r="C503" s="25"/>
      <c r="D503" s="25"/>
      <c r="E503" s="6"/>
      <c r="F503" s="26" t="str">
        <f aca="false">IF(A503="","",MONTH(A503))</f>
        <v/>
      </c>
      <c r="G503" s="26" t="str">
        <f aca="false">IF(A503="","",YEAR(A503))</f>
        <v/>
      </c>
      <c r="H503" s="11" t="str">
        <f aca="false">IF(OR(C503="",B503&lt;&gt;"Pengeluaran"),"",IFERROR(INDEX(Dashboard!$B$18:$B$39,MATCH(C503,Dashboard!$A$18:$A$39,0)),""))</f>
        <v/>
      </c>
    </row>
    <row r="504" customFormat="false" ht="15" hidden="false" customHeight="false" outlineLevel="0" collapsed="false">
      <c r="A504" s="24"/>
      <c r="B504" s="25"/>
      <c r="C504" s="25"/>
      <c r="D504" s="25"/>
      <c r="E504" s="6"/>
      <c r="F504" s="26" t="str">
        <f aca="false">IF(A504="","",MONTH(A504))</f>
        <v/>
      </c>
      <c r="G504" s="26" t="str">
        <f aca="false">IF(A504="","",YEAR(A504))</f>
        <v/>
      </c>
      <c r="H504" s="11" t="str">
        <f aca="false">IF(OR(C504="",B504&lt;&gt;"Pengeluaran"),"",IFERROR(INDEX(Dashboard!$B$18:$B$39,MATCH(C504,Dashboard!$A$18:$A$39,0)),""))</f>
        <v/>
      </c>
    </row>
    <row r="505" customFormat="false" ht="15" hidden="false" customHeight="false" outlineLevel="0" collapsed="false">
      <c r="A505" s="24"/>
      <c r="B505" s="25"/>
      <c r="C505" s="25"/>
      <c r="D505" s="25"/>
      <c r="E505" s="6"/>
      <c r="F505" s="26" t="str">
        <f aca="false">IF(A505="","",MONTH(A505))</f>
        <v/>
      </c>
      <c r="G505" s="26" t="str">
        <f aca="false">IF(A505="","",YEAR(A505))</f>
        <v/>
      </c>
      <c r="H505" s="11" t="str">
        <f aca="false">IF(OR(C505="",B505&lt;&gt;"Pengeluaran"),"",IFERROR(INDEX(Dashboard!$B$18:$B$39,MATCH(C505,Dashboard!$A$18:$A$39,0)),""))</f>
        <v/>
      </c>
    </row>
    <row r="506" customFormat="false" ht="15" hidden="false" customHeight="false" outlineLevel="0" collapsed="false">
      <c r="A506" s="24"/>
      <c r="B506" s="25"/>
      <c r="C506" s="25"/>
      <c r="D506" s="25"/>
      <c r="E506" s="6"/>
      <c r="F506" s="26" t="str">
        <f aca="false">IF(A506="","",MONTH(A506))</f>
        <v/>
      </c>
      <c r="G506" s="26" t="str">
        <f aca="false">IF(A506="","",YEAR(A506))</f>
        <v/>
      </c>
      <c r="H506" s="11" t="str">
        <f aca="false">IF(OR(C506="",B506&lt;&gt;"Pengeluaran"),"",IFERROR(INDEX(Dashboard!$B$18:$B$39,MATCH(C506,Dashboard!$A$18:$A$39,0)),""))</f>
        <v/>
      </c>
    </row>
    <row r="507" customFormat="false" ht="15" hidden="false" customHeight="false" outlineLevel="0" collapsed="false">
      <c r="A507" s="24"/>
      <c r="B507" s="25"/>
      <c r="C507" s="25"/>
      <c r="D507" s="25"/>
      <c r="E507" s="6"/>
      <c r="F507" s="26" t="str">
        <f aca="false">IF(A507="","",MONTH(A507))</f>
        <v/>
      </c>
      <c r="G507" s="26" t="str">
        <f aca="false">IF(A507="","",YEAR(A507))</f>
        <v/>
      </c>
      <c r="H507" s="11" t="str">
        <f aca="false">IF(OR(C507="",B507&lt;&gt;"Pengeluaran"),"",IFERROR(INDEX(Dashboard!$B$18:$B$39,MATCH(C507,Dashboard!$A$18:$A$39,0)),""))</f>
        <v/>
      </c>
    </row>
    <row r="508" customFormat="false" ht="15" hidden="false" customHeight="false" outlineLevel="0" collapsed="false">
      <c r="A508" s="24"/>
      <c r="B508" s="25"/>
      <c r="C508" s="25"/>
      <c r="D508" s="25"/>
      <c r="E508" s="6"/>
      <c r="F508" s="26" t="str">
        <f aca="false">IF(A508="","",MONTH(A508))</f>
        <v/>
      </c>
      <c r="G508" s="26" t="str">
        <f aca="false">IF(A508="","",YEAR(A508))</f>
        <v/>
      </c>
      <c r="H508" s="11" t="str">
        <f aca="false">IF(OR(C508="",B508&lt;&gt;"Pengeluaran"),"",IFERROR(INDEX(Dashboard!$B$18:$B$39,MATCH(C508,Dashboard!$A$18:$A$39,0)),""))</f>
        <v/>
      </c>
    </row>
    <row r="509" customFormat="false" ht="15" hidden="false" customHeight="false" outlineLevel="0" collapsed="false">
      <c r="A509" s="24"/>
      <c r="B509" s="25"/>
      <c r="C509" s="25"/>
      <c r="D509" s="25"/>
      <c r="E509" s="6"/>
      <c r="F509" s="26" t="str">
        <f aca="false">IF(A509="","",MONTH(A509))</f>
        <v/>
      </c>
      <c r="G509" s="26" t="str">
        <f aca="false">IF(A509="","",YEAR(A509))</f>
        <v/>
      </c>
      <c r="H509" s="11" t="str">
        <f aca="false">IF(OR(C509="",B509&lt;&gt;"Pengeluaran"),"",IFERROR(INDEX(Dashboard!$B$18:$B$39,MATCH(C509,Dashboard!$A$18:$A$39,0)),""))</f>
        <v/>
      </c>
    </row>
    <row r="510" customFormat="false" ht="15" hidden="false" customHeight="false" outlineLevel="0" collapsed="false">
      <c r="A510" s="24"/>
      <c r="B510" s="25"/>
      <c r="C510" s="25"/>
      <c r="D510" s="25"/>
      <c r="E510" s="6"/>
      <c r="F510" s="26" t="str">
        <f aca="false">IF(A510="","",MONTH(A510))</f>
        <v/>
      </c>
      <c r="G510" s="26" t="str">
        <f aca="false">IF(A510="","",YEAR(A510))</f>
        <v/>
      </c>
      <c r="H510" s="11" t="str">
        <f aca="false">IF(OR(C510="",B510&lt;&gt;"Pengeluaran"),"",IFERROR(INDEX(Dashboard!$B$18:$B$39,MATCH(C510,Dashboard!$A$18:$A$39,0)),""))</f>
        <v/>
      </c>
    </row>
    <row r="511" customFormat="false" ht="15" hidden="false" customHeight="false" outlineLevel="0" collapsed="false">
      <c r="A511" s="24"/>
      <c r="B511" s="25"/>
      <c r="C511" s="25"/>
      <c r="D511" s="25"/>
      <c r="E511" s="6"/>
      <c r="F511" s="26" t="str">
        <f aca="false">IF(A511="","",MONTH(A511))</f>
        <v/>
      </c>
      <c r="G511" s="26" t="str">
        <f aca="false">IF(A511="","",YEAR(A511))</f>
        <v/>
      </c>
      <c r="H511" s="11" t="str">
        <f aca="false">IF(OR(C511="",B511&lt;&gt;"Pengeluaran"),"",IFERROR(INDEX(Dashboard!$B$18:$B$39,MATCH(C511,Dashboard!$A$18:$A$39,0)),""))</f>
        <v/>
      </c>
    </row>
    <row r="512" customFormat="false" ht="15" hidden="false" customHeight="false" outlineLevel="0" collapsed="false">
      <c r="A512" s="24"/>
      <c r="B512" s="25"/>
      <c r="C512" s="25"/>
      <c r="D512" s="25"/>
      <c r="E512" s="6"/>
      <c r="F512" s="26" t="str">
        <f aca="false">IF(A512="","",MONTH(A512))</f>
        <v/>
      </c>
      <c r="G512" s="26" t="str">
        <f aca="false">IF(A512="","",YEAR(A512))</f>
        <v/>
      </c>
      <c r="H512" s="11" t="str">
        <f aca="false">IF(OR(C512="",B512&lt;&gt;"Pengeluaran"),"",IFERROR(INDEX(Dashboard!$B$18:$B$39,MATCH(C512,Dashboard!$A$18:$A$39,0)),""))</f>
        <v/>
      </c>
    </row>
    <row r="513" customFormat="false" ht="15" hidden="false" customHeight="false" outlineLevel="0" collapsed="false">
      <c r="A513" s="24"/>
      <c r="B513" s="25"/>
      <c r="C513" s="25"/>
      <c r="D513" s="25"/>
      <c r="E513" s="6"/>
      <c r="F513" s="26" t="str">
        <f aca="false">IF(A513="","",MONTH(A513))</f>
        <v/>
      </c>
      <c r="G513" s="26" t="str">
        <f aca="false">IF(A513="","",YEAR(A513))</f>
        <v/>
      </c>
      <c r="H513" s="11" t="str">
        <f aca="false">IF(OR(C513="",B513&lt;&gt;"Pengeluaran"),"",IFERROR(INDEX(Dashboard!$B$18:$B$39,MATCH(C513,Dashboard!$A$18:$A$39,0)),""))</f>
        <v/>
      </c>
    </row>
    <row r="514" customFormat="false" ht="15" hidden="false" customHeight="false" outlineLevel="0" collapsed="false">
      <c r="A514" s="24"/>
      <c r="B514" s="25"/>
      <c r="C514" s="25"/>
      <c r="D514" s="25"/>
      <c r="E514" s="6"/>
      <c r="F514" s="26" t="str">
        <f aca="false">IF(A514="","",MONTH(A514))</f>
        <v/>
      </c>
      <c r="G514" s="26" t="str">
        <f aca="false">IF(A514="","",YEAR(A514))</f>
        <v/>
      </c>
      <c r="H514" s="11" t="str">
        <f aca="false">IF(OR(C514="",B514&lt;&gt;"Pengeluaran"),"",IFERROR(INDEX(Dashboard!$B$18:$B$39,MATCH(C514,Dashboard!$A$18:$A$39,0)),""))</f>
        <v/>
      </c>
    </row>
    <row r="515" customFormat="false" ht="15" hidden="false" customHeight="false" outlineLevel="0" collapsed="false">
      <c r="A515" s="24"/>
      <c r="B515" s="25"/>
      <c r="C515" s="25"/>
      <c r="D515" s="25"/>
      <c r="E515" s="6"/>
      <c r="F515" s="26" t="str">
        <f aca="false">IF(A515="","",MONTH(A515))</f>
        <v/>
      </c>
      <c r="G515" s="26" t="str">
        <f aca="false">IF(A515="","",YEAR(A515))</f>
        <v/>
      </c>
      <c r="H515" s="11" t="str">
        <f aca="false">IF(OR(C515="",B515&lt;&gt;"Pengeluaran"),"",IFERROR(INDEX(Dashboard!$B$18:$B$39,MATCH(C515,Dashboard!$A$18:$A$39,0)),""))</f>
        <v/>
      </c>
    </row>
    <row r="516" customFormat="false" ht="15" hidden="false" customHeight="false" outlineLevel="0" collapsed="false">
      <c r="A516" s="24"/>
      <c r="B516" s="25"/>
      <c r="C516" s="25"/>
      <c r="D516" s="25"/>
      <c r="E516" s="6"/>
      <c r="F516" s="26" t="str">
        <f aca="false">IF(A516="","",MONTH(A516))</f>
        <v/>
      </c>
      <c r="G516" s="26" t="str">
        <f aca="false">IF(A516="","",YEAR(A516))</f>
        <v/>
      </c>
      <c r="H516" s="11" t="str">
        <f aca="false">IF(OR(C516="",B516&lt;&gt;"Pengeluaran"),"",IFERROR(INDEX(Dashboard!$B$18:$B$39,MATCH(C516,Dashboard!$A$18:$A$39,0)),""))</f>
        <v/>
      </c>
    </row>
    <row r="517" customFormat="false" ht="15" hidden="false" customHeight="false" outlineLevel="0" collapsed="false">
      <c r="A517" s="24"/>
      <c r="B517" s="25"/>
      <c r="C517" s="25"/>
      <c r="D517" s="25"/>
      <c r="E517" s="6"/>
      <c r="F517" s="26" t="str">
        <f aca="false">IF(A517="","",MONTH(A517))</f>
        <v/>
      </c>
      <c r="G517" s="26" t="str">
        <f aca="false">IF(A517="","",YEAR(A517))</f>
        <v/>
      </c>
      <c r="H517" s="11" t="str">
        <f aca="false">IF(OR(C517="",B517&lt;&gt;"Pengeluaran"),"",IFERROR(INDEX(Dashboard!$B$18:$B$39,MATCH(C517,Dashboard!$A$18:$A$39,0)),""))</f>
        <v/>
      </c>
    </row>
    <row r="518" customFormat="false" ht="15" hidden="false" customHeight="false" outlineLevel="0" collapsed="false">
      <c r="A518" s="24"/>
      <c r="B518" s="25"/>
      <c r="C518" s="25"/>
      <c r="D518" s="25"/>
      <c r="E518" s="6"/>
      <c r="F518" s="26" t="str">
        <f aca="false">IF(A518="","",MONTH(A518))</f>
        <v/>
      </c>
      <c r="G518" s="26" t="str">
        <f aca="false">IF(A518="","",YEAR(A518))</f>
        <v/>
      </c>
      <c r="H518" s="11" t="str">
        <f aca="false">IF(OR(C518="",B518&lt;&gt;"Pengeluaran"),"",IFERROR(INDEX(Dashboard!$B$18:$B$39,MATCH(C518,Dashboard!$A$18:$A$39,0)),""))</f>
        <v/>
      </c>
    </row>
    <row r="519" customFormat="false" ht="15" hidden="false" customHeight="false" outlineLevel="0" collapsed="false">
      <c r="A519" s="24"/>
      <c r="B519" s="25"/>
      <c r="C519" s="25"/>
      <c r="D519" s="25"/>
      <c r="E519" s="6"/>
      <c r="F519" s="26" t="str">
        <f aca="false">IF(A519="","",MONTH(A519))</f>
        <v/>
      </c>
      <c r="G519" s="26" t="str">
        <f aca="false">IF(A519="","",YEAR(A519))</f>
        <v/>
      </c>
      <c r="H519" s="11" t="str">
        <f aca="false">IF(OR(C519="",B519&lt;&gt;"Pengeluaran"),"",IFERROR(INDEX(Dashboard!$B$18:$B$39,MATCH(C519,Dashboard!$A$18:$A$39,0)),""))</f>
        <v/>
      </c>
    </row>
    <row r="520" customFormat="false" ht="15" hidden="false" customHeight="false" outlineLevel="0" collapsed="false">
      <c r="A520" s="24"/>
      <c r="B520" s="25"/>
      <c r="C520" s="25"/>
      <c r="D520" s="25"/>
      <c r="E520" s="6"/>
      <c r="F520" s="26" t="str">
        <f aca="false">IF(A520="","",MONTH(A520))</f>
        <v/>
      </c>
      <c r="G520" s="26" t="str">
        <f aca="false">IF(A520="","",YEAR(A520))</f>
        <v/>
      </c>
      <c r="H520" s="11" t="str">
        <f aca="false">IF(OR(C520="",B520&lt;&gt;"Pengeluaran"),"",IFERROR(INDEX(Dashboard!$B$18:$B$39,MATCH(C520,Dashboard!$A$18:$A$39,0)),""))</f>
        <v/>
      </c>
    </row>
    <row r="521" customFormat="false" ht="15" hidden="false" customHeight="false" outlineLevel="0" collapsed="false">
      <c r="A521" s="24"/>
      <c r="B521" s="25"/>
      <c r="C521" s="25"/>
      <c r="D521" s="25"/>
      <c r="E521" s="6"/>
      <c r="F521" s="26" t="str">
        <f aca="false">IF(A521="","",MONTH(A521))</f>
        <v/>
      </c>
      <c r="G521" s="26" t="str">
        <f aca="false">IF(A521="","",YEAR(A521))</f>
        <v/>
      </c>
      <c r="H521" s="11" t="str">
        <f aca="false">IF(OR(C521="",B521&lt;&gt;"Pengeluaran"),"",IFERROR(INDEX(Dashboard!$B$18:$B$39,MATCH(C521,Dashboard!$A$18:$A$39,0)),""))</f>
        <v/>
      </c>
    </row>
    <row r="522" customFormat="false" ht="15" hidden="false" customHeight="false" outlineLevel="0" collapsed="false">
      <c r="A522" s="24"/>
      <c r="B522" s="25"/>
      <c r="C522" s="25"/>
      <c r="D522" s="25"/>
      <c r="E522" s="6"/>
      <c r="F522" s="26" t="str">
        <f aca="false">IF(A522="","",MONTH(A522))</f>
        <v/>
      </c>
      <c r="G522" s="26" t="str">
        <f aca="false">IF(A522="","",YEAR(A522))</f>
        <v/>
      </c>
      <c r="H522" s="11" t="str">
        <f aca="false">IF(OR(C522="",B522&lt;&gt;"Pengeluaran"),"",IFERROR(INDEX(Dashboard!$B$18:$B$39,MATCH(C522,Dashboard!$A$18:$A$39,0)),""))</f>
        <v/>
      </c>
    </row>
    <row r="523" customFormat="false" ht="15" hidden="false" customHeight="false" outlineLevel="0" collapsed="false">
      <c r="A523" s="24"/>
      <c r="B523" s="25"/>
      <c r="C523" s="25"/>
      <c r="D523" s="25"/>
      <c r="E523" s="6"/>
      <c r="F523" s="26" t="str">
        <f aca="false">IF(A523="","",MONTH(A523))</f>
        <v/>
      </c>
      <c r="G523" s="26" t="str">
        <f aca="false">IF(A523="","",YEAR(A523))</f>
        <v/>
      </c>
      <c r="H523" s="11" t="str">
        <f aca="false">IF(OR(C523="",B523&lt;&gt;"Pengeluaran"),"",IFERROR(INDEX(Dashboard!$B$18:$B$39,MATCH(C523,Dashboard!$A$18:$A$39,0)),""))</f>
        <v/>
      </c>
    </row>
    <row r="524" customFormat="false" ht="15" hidden="false" customHeight="false" outlineLevel="0" collapsed="false">
      <c r="A524" s="24"/>
      <c r="B524" s="25"/>
      <c r="C524" s="25"/>
      <c r="D524" s="25"/>
      <c r="E524" s="6"/>
      <c r="F524" s="26" t="str">
        <f aca="false">IF(A524="","",MONTH(A524))</f>
        <v/>
      </c>
      <c r="G524" s="26" t="str">
        <f aca="false">IF(A524="","",YEAR(A524))</f>
        <v/>
      </c>
      <c r="H524" s="11" t="str">
        <f aca="false">IF(OR(C524="",B524&lt;&gt;"Pengeluaran"),"",IFERROR(INDEX(Dashboard!$B$18:$B$39,MATCH(C524,Dashboard!$A$18:$A$39,0)),""))</f>
        <v/>
      </c>
    </row>
    <row r="525" customFormat="false" ht="15" hidden="false" customHeight="false" outlineLevel="0" collapsed="false">
      <c r="A525" s="24"/>
      <c r="B525" s="25"/>
      <c r="C525" s="25"/>
      <c r="D525" s="25"/>
      <c r="E525" s="6"/>
      <c r="F525" s="26" t="str">
        <f aca="false">IF(A525="","",MONTH(A525))</f>
        <v/>
      </c>
      <c r="G525" s="26" t="str">
        <f aca="false">IF(A525="","",YEAR(A525))</f>
        <v/>
      </c>
      <c r="H525" s="11" t="str">
        <f aca="false">IF(OR(C525="",B525&lt;&gt;"Pengeluaran"),"",IFERROR(INDEX(Dashboard!$B$18:$B$39,MATCH(C525,Dashboard!$A$18:$A$39,0)),""))</f>
        <v/>
      </c>
    </row>
    <row r="526" customFormat="false" ht="15" hidden="false" customHeight="false" outlineLevel="0" collapsed="false">
      <c r="A526" s="24"/>
      <c r="B526" s="25"/>
      <c r="C526" s="25"/>
      <c r="D526" s="25"/>
      <c r="E526" s="6"/>
      <c r="F526" s="26" t="str">
        <f aca="false">IF(A526="","",MONTH(A526))</f>
        <v/>
      </c>
      <c r="G526" s="26" t="str">
        <f aca="false">IF(A526="","",YEAR(A526))</f>
        <v/>
      </c>
      <c r="H526" s="11" t="str">
        <f aca="false">IF(OR(C526="",B526&lt;&gt;"Pengeluaran"),"",IFERROR(INDEX(Dashboard!$B$18:$B$39,MATCH(C526,Dashboard!$A$18:$A$39,0)),""))</f>
        <v/>
      </c>
    </row>
    <row r="527" customFormat="false" ht="15" hidden="false" customHeight="false" outlineLevel="0" collapsed="false">
      <c r="A527" s="24"/>
      <c r="B527" s="25"/>
      <c r="C527" s="25"/>
      <c r="D527" s="25"/>
      <c r="E527" s="6"/>
      <c r="F527" s="26" t="str">
        <f aca="false">IF(A527="","",MONTH(A527))</f>
        <v/>
      </c>
      <c r="G527" s="26" t="str">
        <f aca="false">IF(A527="","",YEAR(A527))</f>
        <v/>
      </c>
      <c r="H527" s="11" t="str">
        <f aca="false">IF(OR(C527="",B527&lt;&gt;"Pengeluaran"),"",IFERROR(INDEX(Dashboard!$B$18:$B$39,MATCH(C527,Dashboard!$A$18:$A$39,0)),""))</f>
        <v/>
      </c>
    </row>
    <row r="528" customFormat="false" ht="15" hidden="false" customHeight="false" outlineLevel="0" collapsed="false">
      <c r="A528" s="24"/>
      <c r="B528" s="25"/>
      <c r="C528" s="25"/>
      <c r="D528" s="25"/>
      <c r="E528" s="6"/>
      <c r="F528" s="26" t="str">
        <f aca="false">IF(A528="","",MONTH(A528))</f>
        <v/>
      </c>
      <c r="G528" s="26" t="str">
        <f aca="false">IF(A528="","",YEAR(A528))</f>
        <v/>
      </c>
      <c r="H528" s="11" t="str">
        <f aca="false">IF(OR(C528="",B528&lt;&gt;"Pengeluaran"),"",IFERROR(INDEX(Dashboard!$B$18:$B$39,MATCH(C528,Dashboard!$A$18:$A$39,0)),""))</f>
        <v/>
      </c>
    </row>
    <row r="529" customFormat="false" ht="15" hidden="false" customHeight="false" outlineLevel="0" collapsed="false">
      <c r="A529" s="24"/>
      <c r="B529" s="25"/>
      <c r="C529" s="25"/>
      <c r="D529" s="25"/>
      <c r="E529" s="6"/>
      <c r="F529" s="26" t="str">
        <f aca="false">IF(A529="","",MONTH(A529))</f>
        <v/>
      </c>
      <c r="G529" s="26" t="str">
        <f aca="false">IF(A529="","",YEAR(A529))</f>
        <v/>
      </c>
      <c r="H529" s="11" t="str">
        <f aca="false">IF(OR(C529="",B529&lt;&gt;"Pengeluaran"),"",IFERROR(INDEX(Dashboard!$B$18:$B$39,MATCH(C529,Dashboard!$A$18:$A$39,0)),""))</f>
        <v/>
      </c>
    </row>
    <row r="530" customFormat="false" ht="15" hidden="false" customHeight="false" outlineLevel="0" collapsed="false">
      <c r="A530" s="24"/>
      <c r="B530" s="25"/>
      <c r="C530" s="25"/>
      <c r="D530" s="25"/>
      <c r="E530" s="6"/>
      <c r="F530" s="26" t="str">
        <f aca="false">IF(A530="","",MONTH(A530))</f>
        <v/>
      </c>
      <c r="G530" s="26" t="str">
        <f aca="false">IF(A530="","",YEAR(A530))</f>
        <v/>
      </c>
      <c r="H530" s="11" t="str">
        <f aca="false">IF(OR(C530="",B530&lt;&gt;"Pengeluaran"),"",IFERROR(INDEX(Dashboard!$B$18:$B$39,MATCH(C530,Dashboard!$A$18:$A$39,0)),""))</f>
        <v/>
      </c>
    </row>
    <row r="531" customFormat="false" ht="15" hidden="false" customHeight="false" outlineLevel="0" collapsed="false">
      <c r="A531" s="24"/>
      <c r="B531" s="25"/>
      <c r="C531" s="25"/>
      <c r="D531" s="25"/>
      <c r="E531" s="6"/>
      <c r="F531" s="26" t="str">
        <f aca="false">IF(A531="","",MONTH(A531))</f>
        <v/>
      </c>
      <c r="G531" s="26" t="str">
        <f aca="false">IF(A531="","",YEAR(A531))</f>
        <v/>
      </c>
      <c r="H531" s="11" t="str">
        <f aca="false">IF(OR(C531="",B531&lt;&gt;"Pengeluaran"),"",IFERROR(INDEX(Dashboard!$B$18:$B$39,MATCH(C531,Dashboard!$A$18:$A$39,0)),""))</f>
        <v/>
      </c>
    </row>
    <row r="532" customFormat="false" ht="15" hidden="false" customHeight="false" outlineLevel="0" collapsed="false">
      <c r="A532" s="24"/>
      <c r="B532" s="25"/>
      <c r="C532" s="25"/>
      <c r="D532" s="25"/>
      <c r="E532" s="6"/>
      <c r="F532" s="26" t="str">
        <f aca="false">IF(A532="","",MONTH(A532))</f>
        <v/>
      </c>
      <c r="G532" s="26" t="str">
        <f aca="false">IF(A532="","",YEAR(A532))</f>
        <v/>
      </c>
      <c r="H532" s="11" t="str">
        <f aca="false">IF(OR(C532="",B532&lt;&gt;"Pengeluaran"),"",IFERROR(INDEX(Dashboard!$B$18:$B$39,MATCH(C532,Dashboard!$A$18:$A$39,0)),""))</f>
        <v/>
      </c>
    </row>
    <row r="533" customFormat="false" ht="15" hidden="false" customHeight="false" outlineLevel="0" collapsed="false">
      <c r="A533" s="24"/>
      <c r="B533" s="25"/>
      <c r="C533" s="25"/>
      <c r="D533" s="25"/>
      <c r="E533" s="6"/>
      <c r="F533" s="26" t="str">
        <f aca="false">IF(A533="","",MONTH(A533))</f>
        <v/>
      </c>
      <c r="G533" s="26" t="str">
        <f aca="false">IF(A533="","",YEAR(A533))</f>
        <v/>
      </c>
      <c r="H533" s="11" t="str">
        <f aca="false">IF(OR(C533="",B533&lt;&gt;"Pengeluaran"),"",IFERROR(INDEX(Dashboard!$B$18:$B$39,MATCH(C533,Dashboard!$A$18:$A$39,0)),""))</f>
        <v/>
      </c>
    </row>
    <row r="534" customFormat="false" ht="15" hidden="false" customHeight="false" outlineLevel="0" collapsed="false">
      <c r="A534" s="24"/>
      <c r="B534" s="25"/>
      <c r="C534" s="25"/>
      <c r="D534" s="25"/>
      <c r="E534" s="6"/>
      <c r="F534" s="26" t="str">
        <f aca="false">IF(A534="","",MONTH(A534))</f>
        <v/>
      </c>
      <c r="G534" s="26" t="str">
        <f aca="false">IF(A534="","",YEAR(A534))</f>
        <v/>
      </c>
      <c r="H534" s="11" t="str">
        <f aca="false">IF(OR(C534="",B534&lt;&gt;"Pengeluaran"),"",IFERROR(INDEX(Dashboard!$B$18:$B$39,MATCH(C534,Dashboard!$A$18:$A$39,0)),""))</f>
        <v/>
      </c>
    </row>
    <row r="535" customFormat="false" ht="15" hidden="false" customHeight="false" outlineLevel="0" collapsed="false">
      <c r="A535" s="24"/>
      <c r="B535" s="25"/>
      <c r="C535" s="25"/>
      <c r="D535" s="25"/>
      <c r="E535" s="6"/>
      <c r="F535" s="26" t="str">
        <f aca="false">IF(A535="","",MONTH(A535))</f>
        <v/>
      </c>
      <c r="G535" s="26" t="str">
        <f aca="false">IF(A535="","",YEAR(A535))</f>
        <v/>
      </c>
      <c r="H535" s="11" t="str">
        <f aca="false">IF(OR(C535="",B535&lt;&gt;"Pengeluaran"),"",IFERROR(INDEX(Dashboard!$B$18:$B$39,MATCH(C535,Dashboard!$A$18:$A$39,0)),""))</f>
        <v/>
      </c>
    </row>
    <row r="536" customFormat="false" ht="15" hidden="false" customHeight="false" outlineLevel="0" collapsed="false">
      <c r="A536" s="24"/>
      <c r="B536" s="25"/>
      <c r="C536" s="25"/>
      <c r="D536" s="25"/>
      <c r="E536" s="6"/>
      <c r="F536" s="26" t="str">
        <f aca="false">IF(A536="","",MONTH(A536))</f>
        <v/>
      </c>
      <c r="G536" s="26" t="str">
        <f aca="false">IF(A536="","",YEAR(A536))</f>
        <v/>
      </c>
      <c r="H536" s="11" t="str">
        <f aca="false">IF(OR(C536="",B536&lt;&gt;"Pengeluaran"),"",IFERROR(INDEX(Dashboard!$B$18:$B$39,MATCH(C536,Dashboard!$A$18:$A$39,0)),""))</f>
        <v/>
      </c>
    </row>
    <row r="537" customFormat="false" ht="15" hidden="false" customHeight="false" outlineLevel="0" collapsed="false">
      <c r="A537" s="24"/>
      <c r="B537" s="25"/>
      <c r="C537" s="25"/>
      <c r="D537" s="25"/>
      <c r="E537" s="6"/>
      <c r="F537" s="26" t="str">
        <f aca="false">IF(A537="","",MONTH(A537))</f>
        <v/>
      </c>
      <c r="G537" s="26" t="str">
        <f aca="false">IF(A537="","",YEAR(A537))</f>
        <v/>
      </c>
      <c r="H537" s="11" t="str">
        <f aca="false">IF(OR(C537="",B537&lt;&gt;"Pengeluaran"),"",IFERROR(INDEX(Dashboard!$B$18:$B$39,MATCH(C537,Dashboard!$A$18:$A$39,0)),""))</f>
        <v/>
      </c>
    </row>
    <row r="538" customFormat="false" ht="15" hidden="false" customHeight="false" outlineLevel="0" collapsed="false">
      <c r="A538" s="24"/>
      <c r="B538" s="25"/>
      <c r="C538" s="25"/>
      <c r="D538" s="25"/>
      <c r="E538" s="6"/>
      <c r="F538" s="26" t="str">
        <f aca="false">IF(A538="","",MONTH(A538))</f>
        <v/>
      </c>
      <c r="G538" s="26" t="str">
        <f aca="false">IF(A538="","",YEAR(A538))</f>
        <v/>
      </c>
      <c r="H538" s="11" t="str">
        <f aca="false">IF(OR(C538="",B538&lt;&gt;"Pengeluaran"),"",IFERROR(INDEX(Dashboard!$B$18:$B$39,MATCH(C538,Dashboard!$A$18:$A$39,0)),""))</f>
        <v/>
      </c>
    </row>
    <row r="539" customFormat="false" ht="15" hidden="false" customHeight="false" outlineLevel="0" collapsed="false">
      <c r="A539" s="24"/>
      <c r="B539" s="25"/>
      <c r="C539" s="25"/>
      <c r="D539" s="25"/>
      <c r="E539" s="6"/>
      <c r="F539" s="26" t="str">
        <f aca="false">IF(A539="","",MONTH(A539))</f>
        <v/>
      </c>
      <c r="G539" s="26" t="str">
        <f aca="false">IF(A539="","",YEAR(A539))</f>
        <v/>
      </c>
      <c r="H539" s="11" t="str">
        <f aca="false">IF(OR(C539="",B539&lt;&gt;"Pengeluaran"),"",IFERROR(INDEX(Dashboard!$B$18:$B$39,MATCH(C539,Dashboard!$A$18:$A$39,0)),""))</f>
        <v/>
      </c>
    </row>
    <row r="540" customFormat="false" ht="15" hidden="false" customHeight="false" outlineLevel="0" collapsed="false">
      <c r="A540" s="24"/>
      <c r="B540" s="25"/>
      <c r="C540" s="25"/>
      <c r="D540" s="25"/>
      <c r="E540" s="6"/>
      <c r="F540" s="26" t="str">
        <f aca="false">IF(A540="","",MONTH(A540))</f>
        <v/>
      </c>
      <c r="G540" s="26" t="str">
        <f aca="false">IF(A540="","",YEAR(A540))</f>
        <v/>
      </c>
      <c r="H540" s="11" t="str">
        <f aca="false">IF(OR(C540="",B540&lt;&gt;"Pengeluaran"),"",IFERROR(INDEX(Dashboard!$B$18:$B$39,MATCH(C540,Dashboard!$A$18:$A$39,0)),""))</f>
        <v/>
      </c>
    </row>
    <row r="541" customFormat="false" ht="15" hidden="false" customHeight="false" outlineLevel="0" collapsed="false">
      <c r="A541" s="24"/>
      <c r="B541" s="25"/>
      <c r="C541" s="25"/>
      <c r="D541" s="25"/>
      <c r="E541" s="6"/>
      <c r="F541" s="26" t="str">
        <f aca="false">IF(A541="","",MONTH(A541))</f>
        <v/>
      </c>
      <c r="G541" s="26" t="str">
        <f aca="false">IF(A541="","",YEAR(A541))</f>
        <v/>
      </c>
      <c r="H541" s="11" t="str">
        <f aca="false">IF(OR(C541="",B541&lt;&gt;"Pengeluaran"),"",IFERROR(INDEX(Dashboard!$B$18:$B$39,MATCH(C541,Dashboard!$A$18:$A$39,0)),""))</f>
        <v/>
      </c>
    </row>
    <row r="542" customFormat="false" ht="15" hidden="false" customHeight="false" outlineLevel="0" collapsed="false">
      <c r="A542" s="24"/>
      <c r="B542" s="25"/>
      <c r="C542" s="25"/>
      <c r="D542" s="25"/>
      <c r="E542" s="6"/>
      <c r="F542" s="26" t="str">
        <f aca="false">IF(A542="","",MONTH(A542))</f>
        <v/>
      </c>
      <c r="G542" s="26" t="str">
        <f aca="false">IF(A542="","",YEAR(A542))</f>
        <v/>
      </c>
      <c r="H542" s="11" t="str">
        <f aca="false">IF(OR(C542="",B542&lt;&gt;"Pengeluaran"),"",IFERROR(INDEX(Dashboard!$B$18:$B$39,MATCH(C542,Dashboard!$A$18:$A$39,0)),""))</f>
        <v/>
      </c>
    </row>
    <row r="543" customFormat="false" ht="15" hidden="false" customHeight="false" outlineLevel="0" collapsed="false">
      <c r="A543" s="24"/>
      <c r="B543" s="25"/>
      <c r="C543" s="25"/>
      <c r="D543" s="25"/>
      <c r="E543" s="6"/>
      <c r="F543" s="26" t="str">
        <f aca="false">IF(A543="","",MONTH(A543))</f>
        <v/>
      </c>
      <c r="G543" s="26" t="str">
        <f aca="false">IF(A543="","",YEAR(A543))</f>
        <v/>
      </c>
      <c r="H543" s="11" t="str">
        <f aca="false">IF(OR(C543="",B543&lt;&gt;"Pengeluaran"),"",IFERROR(INDEX(Dashboard!$B$18:$B$39,MATCH(C543,Dashboard!$A$18:$A$39,0)),""))</f>
        <v/>
      </c>
    </row>
    <row r="544" customFormat="false" ht="15" hidden="false" customHeight="false" outlineLevel="0" collapsed="false">
      <c r="A544" s="24"/>
      <c r="B544" s="25"/>
      <c r="C544" s="25"/>
      <c r="D544" s="25"/>
      <c r="E544" s="6"/>
      <c r="F544" s="26" t="str">
        <f aca="false">IF(A544="","",MONTH(A544))</f>
        <v/>
      </c>
      <c r="G544" s="26" t="str">
        <f aca="false">IF(A544="","",YEAR(A544))</f>
        <v/>
      </c>
      <c r="H544" s="11" t="str">
        <f aca="false">IF(OR(C544="",B544&lt;&gt;"Pengeluaran"),"",IFERROR(INDEX(Dashboard!$B$18:$B$39,MATCH(C544,Dashboard!$A$18:$A$39,0)),""))</f>
        <v/>
      </c>
    </row>
    <row r="545" customFormat="false" ht="15" hidden="false" customHeight="false" outlineLevel="0" collapsed="false">
      <c r="A545" s="24"/>
      <c r="B545" s="25"/>
      <c r="C545" s="25"/>
      <c r="D545" s="25"/>
      <c r="E545" s="6"/>
      <c r="F545" s="26" t="str">
        <f aca="false">IF(A545="","",MONTH(A545))</f>
        <v/>
      </c>
      <c r="G545" s="26" t="str">
        <f aca="false">IF(A545="","",YEAR(A545))</f>
        <v/>
      </c>
      <c r="H545" s="11" t="str">
        <f aca="false">IF(OR(C545="",B545&lt;&gt;"Pengeluaran"),"",IFERROR(INDEX(Dashboard!$B$18:$B$39,MATCH(C545,Dashboard!$A$18:$A$39,0)),""))</f>
        <v/>
      </c>
    </row>
    <row r="546" customFormat="false" ht="15" hidden="false" customHeight="false" outlineLevel="0" collapsed="false">
      <c r="A546" s="24"/>
      <c r="B546" s="25"/>
      <c r="C546" s="25"/>
      <c r="D546" s="25"/>
      <c r="E546" s="6"/>
      <c r="F546" s="26" t="str">
        <f aca="false">IF(A546="","",MONTH(A546))</f>
        <v/>
      </c>
      <c r="G546" s="26" t="str">
        <f aca="false">IF(A546="","",YEAR(A546))</f>
        <v/>
      </c>
      <c r="H546" s="11" t="str">
        <f aca="false">IF(OR(C546="",B546&lt;&gt;"Pengeluaran"),"",IFERROR(INDEX(Dashboard!$B$18:$B$39,MATCH(C546,Dashboard!$A$18:$A$39,0)),""))</f>
        <v/>
      </c>
    </row>
    <row r="547" customFormat="false" ht="15" hidden="false" customHeight="false" outlineLevel="0" collapsed="false">
      <c r="A547" s="24"/>
      <c r="B547" s="25"/>
      <c r="C547" s="25"/>
      <c r="D547" s="25"/>
      <c r="E547" s="6"/>
      <c r="F547" s="26" t="str">
        <f aca="false">IF(A547="","",MONTH(A547))</f>
        <v/>
      </c>
      <c r="G547" s="26" t="str">
        <f aca="false">IF(A547="","",YEAR(A547))</f>
        <v/>
      </c>
      <c r="H547" s="11" t="str">
        <f aca="false">IF(OR(C547="",B547&lt;&gt;"Pengeluaran"),"",IFERROR(INDEX(Dashboard!$B$18:$B$39,MATCH(C547,Dashboard!$A$18:$A$39,0)),""))</f>
        <v/>
      </c>
    </row>
    <row r="548" customFormat="false" ht="15" hidden="false" customHeight="false" outlineLevel="0" collapsed="false">
      <c r="A548" s="24"/>
      <c r="B548" s="25"/>
      <c r="C548" s="25"/>
      <c r="D548" s="25"/>
      <c r="E548" s="6"/>
      <c r="F548" s="26" t="str">
        <f aca="false">IF(A548="","",MONTH(A548))</f>
        <v/>
      </c>
      <c r="G548" s="26" t="str">
        <f aca="false">IF(A548="","",YEAR(A548))</f>
        <v/>
      </c>
      <c r="H548" s="11" t="str">
        <f aca="false">IF(OR(C548="",B548&lt;&gt;"Pengeluaran"),"",IFERROR(INDEX(Dashboard!$B$18:$B$39,MATCH(C548,Dashboard!$A$18:$A$39,0)),""))</f>
        <v/>
      </c>
    </row>
    <row r="549" customFormat="false" ht="15" hidden="false" customHeight="false" outlineLevel="0" collapsed="false">
      <c r="A549" s="24"/>
      <c r="B549" s="25"/>
      <c r="C549" s="25"/>
      <c r="D549" s="25"/>
      <c r="E549" s="6"/>
      <c r="F549" s="26" t="str">
        <f aca="false">IF(A549="","",MONTH(A549))</f>
        <v/>
      </c>
      <c r="G549" s="26" t="str">
        <f aca="false">IF(A549="","",YEAR(A549))</f>
        <v/>
      </c>
      <c r="H549" s="11" t="str">
        <f aca="false">IF(OR(C549="",B549&lt;&gt;"Pengeluaran"),"",IFERROR(INDEX(Dashboard!$B$18:$B$39,MATCH(C549,Dashboard!$A$18:$A$39,0)),""))</f>
        <v/>
      </c>
    </row>
    <row r="550" customFormat="false" ht="15" hidden="false" customHeight="false" outlineLevel="0" collapsed="false">
      <c r="A550" s="24"/>
      <c r="B550" s="25"/>
      <c r="C550" s="25"/>
      <c r="D550" s="25"/>
      <c r="E550" s="6"/>
      <c r="F550" s="26" t="str">
        <f aca="false">IF(A550="","",MONTH(A550))</f>
        <v/>
      </c>
      <c r="G550" s="26" t="str">
        <f aca="false">IF(A550="","",YEAR(A550))</f>
        <v/>
      </c>
      <c r="H550" s="11" t="str">
        <f aca="false">IF(OR(C550="",B550&lt;&gt;"Pengeluaran"),"",IFERROR(INDEX(Dashboard!$B$18:$B$39,MATCH(C550,Dashboard!$A$18:$A$39,0)),""))</f>
        <v/>
      </c>
    </row>
    <row r="551" customFormat="false" ht="15" hidden="false" customHeight="false" outlineLevel="0" collapsed="false">
      <c r="A551" s="24"/>
      <c r="B551" s="25"/>
      <c r="C551" s="25"/>
      <c r="D551" s="25"/>
      <c r="E551" s="6"/>
      <c r="F551" s="26" t="str">
        <f aca="false">IF(A551="","",MONTH(A551))</f>
        <v/>
      </c>
      <c r="G551" s="26" t="str">
        <f aca="false">IF(A551="","",YEAR(A551))</f>
        <v/>
      </c>
      <c r="H551" s="11" t="str">
        <f aca="false">IF(OR(C551="",B551&lt;&gt;"Pengeluaran"),"",IFERROR(INDEX(Dashboard!$B$18:$B$39,MATCH(C551,Dashboard!$A$18:$A$39,0)),""))</f>
        <v/>
      </c>
    </row>
    <row r="552" customFormat="false" ht="15" hidden="false" customHeight="false" outlineLevel="0" collapsed="false">
      <c r="A552" s="24"/>
      <c r="B552" s="25"/>
      <c r="C552" s="25"/>
      <c r="D552" s="25"/>
      <c r="E552" s="6"/>
      <c r="F552" s="26" t="str">
        <f aca="false">IF(A552="","",MONTH(A552))</f>
        <v/>
      </c>
      <c r="G552" s="26" t="str">
        <f aca="false">IF(A552="","",YEAR(A552))</f>
        <v/>
      </c>
      <c r="H552" s="11" t="str">
        <f aca="false">IF(OR(C552="",B552&lt;&gt;"Pengeluaran"),"",IFERROR(INDEX(Dashboard!$B$18:$B$39,MATCH(C552,Dashboard!$A$18:$A$39,0)),""))</f>
        <v/>
      </c>
    </row>
    <row r="553" customFormat="false" ht="15" hidden="false" customHeight="false" outlineLevel="0" collapsed="false">
      <c r="A553" s="24"/>
      <c r="B553" s="25"/>
      <c r="C553" s="25"/>
      <c r="D553" s="25"/>
      <c r="E553" s="6"/>
      <c r="F553" s="26" t="str">
        <f aca="false">IF(A553="","",MONTH(A553))</f>
        <v/>
      </c>
      <c r="G553" s="26" t="str">
        <f aca="false">IF(A553="","",YEAR(A553))</f>
        <v/>
      </c>
      <c r="H553" s="11" t="str">
        <f aca="false">IF(OR(C553="",B553&lt;&gt;"Pengeluaran"),"",IFERROR(INDEX(Dashboard!$B$18:$B$39,MATCH(C553,Dashboard!$A$18:$A$39,0)),""))</f>
        <v/>
      </c>
    </row>
    <row r="554" customFormat="false" ht="15" hidden="false" customHeight="false" outlineLevel="0" collapsed="false">
      <c r="A554" s="24"/>
      <c r="B554" s="25"/>
      <c r="C554" s="25"/>
      <c r="D554" s="25"/>
      <c r="E554" s="6"/>
      <c r="F554" s="26" t="str">
        <f aca="false">IF(A554="","",MONTH(A554))</f>
        <v/>
      </c>
      <c r="G554" s="26" t="str">
        <f aca="false">IF(A554="","",YEAR(A554))</f>
        <v/>
      </c>
      <c r="H554" s="11" t="str">
        <f aca="false">IF(OR(C554="",B554&lt;&gt;"Pengeluaran"),"",IFERROR(INDEX(Dashboard!$B$18:$B$39,MATCH(C554,Dashboard!$A$18:$A$39,0)),""))</f>
        <v/>
      </c>
    </row>
    <row r="555" customFormat="false" ht="15" hidden="false" customHeight="false" outlineLevel="0" collapsed="false">
      <c r="A555" s="24"/>
      <c r="B555" s="25"/>
      <c r="C555" s="25"/>
      <c r="D555" s="25"/>
      <c r="E555" s="6"/>
      <c r="F555" s="26" t="str">
        <f aca="false">IF(A555="","",MONTH(A555))</f>
        <v/>
      </c>
      <c r="G555" s="26" t="str">
        <f aca="false">IF(A555="","",YEAR(A555))</f>
        <v/>
      </c>
      <c r="H555" s="11" t="str">
        <f aca="false">IF(OR(C555="",B555&lt;&gt;"Pengeluaran"),"",IFERROR(INDEX(Dashboard!$B$18:$B$39,MATCH(C555,Dashboard!$A$18:$A$39,0)),""))</f>
        <v/>
      </c>
    </row>
    <row r="556" customFormat="false" ht="15" hidden="false" customHeight="false" outlineLevel="0" collapsed="false">
      <c r="A556" s="24"/>
      <c r="B556" s="25"/>
      <c r="C556" s="25"/>
      <c r="D556" s="25"/>
      <c r="E556" s="6"/>
      <c r="F556" s="26" t="str">
        <f aca="false">IF(A556="","",MONTH(A556))</f>
        <v/>
      </c>
      <c r="G556" s="26" t="str">
        <f aca="false">IF(A556="","",YEAR(A556))</f>
        <v/>
      </c>
      <c r="H556" s="11" t="str">
        <f aca="false">IF(OR(C556="",B556&lt;&gt;"Pengeluaran"),"",IFERROR(INDEX(Dashboard!$B$18:$B$39,MATCH(C556,Dashboard!$A$18:$A$39,0)),""))</f>
        <v/>
      </c>
    </row>
    <row r="557" customFormat="false" ht="15" hidden="false" customHeight="false" outlineLevel="0" collapsed="false">
      <c r="A557" s="24"/>
      <c r="B557" s="25"/>
      <c r="C557" s="25"/>
      <c r="D557" s="25"/>
      <c r="E557" s="6"/>
      <c r="F557" s="26" t="str">
        <f aca="false">IF(A557="","",MONTH(A557))</f>
        <v/>
      </c>
      <c r="G557" s="26" t="str">
        <f aca="false">IF(A557="","",YEAR(A557))</f>
        <v/>
      </c>
      <c r="H557" s="11" t="str">
        <f aca="false">IF(OR(C557="",B557&lt;&gt;"Pengeluaran"),"",IFERROR(INDEX(Dashboard!$B$18:$B$39,MATCH(C557,Dashboard!$A$18:$A$39,0)),""))</f>
        <v/>
      </c>
    </row>
    <row r="558" customFormat="false" ht="15" hidden="false" customHeight="false" outlineLevel="0" collapsed="false">
      <c r="A558" s="24"/>
      <c r="B558" s="25"/>
      <c r="C558" s="25"/>
      <c r="D558" s="25"/>
      <c r="E558" s="6"/>
      <c r="F558" s="26" t="str">
        <f aca="false">IF(A558="","",MONTH(A558))</f>
        <v/>
      </c>
      <c r="G558" s="26" t="str">
        <f aca="false">IF(A558="","",YEAR(A558))</f>
        <v/>
      </c>
      <c r="H558" s="11" t="str">
        <f aca="false">IF(OR(C558="",B558&lt;&gt;"Pengeluaran"),"",IFERROR(INDEX(Dashboard!$B$18:$B$39,MATCH(C558,Dashboard!$A$18:$A$39,0)),""))</f>
        <v/>
      </c>
    </row>
    <row r="559" customFormat="false" ht="15" hidden="false" customHeight="false" outlineLevel="0" collapsed="false">
      <c r="A559" s="24"/>
      <c r="B559" s="25"/>
      <c r="C559" s="25"/>
      <c r="D559" s="25"/>
      <c r="E559" s="6"/>
      <c r="F559" s="26" t="str">
        <f aca="false">IF(A559="","",MONTH(A559))</f>
        <v/>
      </c>
      <c r="G559" s="26" t="str">
        <f aca="false">IF(A559="","",YEAR(A559))</f>
        <v/>
      </c>
      <c r="H559" s="11" t="str">
        <f aca="false">IF(OR(C559="",B559&lt;&gt;"Pengeluaran"),"",IFERROR(INDEX(Dashboard!$B$18:$B$39,MATCH(C559,Dashboard!$A$18:$A$39,0)),""))</f>
        <v/>
      </c>
    </row>
    <row r="560" customFormat="false" ht="15" hidden="false" customHeight="false" outlineLevel="0" collapsed="false">
      <c r="A560" s="24"/>
      <c r="B560" s="25"/>
      <c r="C560" s="25"/>
      <c r="D560" s="25"/>
      <c r="E560" s="6"/>
      <c r="F560" s="26" t="str">
        <f aca="false">IF(A560="","",MONTH(A560))</f>
        <v/>
      </c>
      <c r="G560" s="26" t="str">
        <f aca="false">IF(A560="","",YEAR(A560))</f>
        <v/>
      </c>
      <c r="H560" s="11" t="str">
        <f aca="false">IF(OR(C560="",B560&lt;&gt;"Pengeluaran"),"",IFERROR(INDEX(Dashboard!$B$18:$B$39,MATCH(C560,Dashboard!$A$18:$A$39,0)),""))</f>
        <v/>
      </c>
    </row>
    <row r="561" customFormat="false" ht="15" hidden="false" customHeight="false" outlineLevel="0" collapsed="false">
      <c r="A561" s="24"/>
      <c r="B561" s="25"/>
      <c r="C561" s="25"/>
      <c r="D561" s="25"/>
      <c r="E561" s="6"/>
      <c r="F561" s="26" t="str">
        <f aca="false">IF(A561="","",MONTH(A561))</f>
        <v/>
      </c>
      <c r="G561" s="26" t="str">
        <f aca="false">IF(A561="","",YEAR(A561))</f>
        <v/>
      </c>
      <c r="H561" s="11" t="str">
        <f aca="false">IF(OR(C561="",B561&lt;&gt;"Pengeluaran"),"",IFERROR(INDEX(Dashboard!$B$18:$B$39,MATCH(C561,Dashboard!$A$18:$A$39,0)),""))</f>
        <v/>
      </c>
    </row>
    <row r="562" customFormat="false" ht="15" hidden="false" customHeight="false" outlineLevel="0" collapsed="false">
      <c r="A562" s="24"/>
      <c r="B562" s="25"/>
      <c r="C562" s="25"/>
      <c r="D562" s="25"/>
      <c r="E562" s="6"/>
      <c r="F562" s="26" t="str">
        <f aca="false">IF(A562="","",MONTH(A562))</f>
        <v/>
      </c>
      <c r="G562" s="26" t="str">
        <f aca="false">IF(A562="","",YEAR(A562))</f>
        <v/>
      </c>
      <c r="H562" s="11" t="str">
        <f aca="false">IF(OR(C562="",B562&lt;&gt;"Pengeluaran"),"",IFERROR(INDEX(Dashboard!$B$18:$B$39,MATCH(C562,Dashboard!$A$18:$A$39,0)),""))</f>
        <v/>
      </c>
    </row>
    <row r="563" customFormat="false" ht="15" hidden="false" customHeight="false" outlineLevel="0" collapsed="false">
      <c r="A563" s="24"/>
      <c r="B563" s="25"/>
      <c r="C563" s="25"/>
      <c r="D563" s="25"/>
      <c r="E563" s="6"/>
      <c r="F563" s="26" t="str">
        <f aca="false">IF(A563="","",MONTH(A563))</f>
        <v/>
      </c>
      <c r="G563" s="26" t="str">
        <f aca="false">IF(A563="","",YEAR(A563))</f>
        <v/>
      </c>
      <c r="H563" s="11" t="str">
        <f aca="false">IF(OR(C563="",B563&lt;&gt;"Pengeluaran"),"",IFERROR(INDEX(Dashboard!$B$18:$B$39,MATCH(C563,Dashboard!$A$18:$A$39,0)),""))</f>
        <v/>
      </c>
    </row>
    <row r="564" customFormat="false" ht="15" hidden="false" customHeight="false" outlineLevel="0" collapsed="false">
      <c r="A564" s="24"/>
      <c r="B564" s="25"/>
      <c r="C564" s="25"/>
      <c r="D564" s="25"/>
      <c r="E564" s="6"/>
      <c r="F564" s="26" t="str">
        <f aca="false">IF(A564="","",MONTH(A564))</f>
        <v/>
      </c>
      <c r="G564" s="26" t="str">
        <f aca="false">IF(A564="","",YEAR(A564))</f>
        <v/>
      </c>
      <c r="H564" s="11" t="str">
        <f aca="false">IF(OR(C564="",B564&lt;&gt;"Pengeluaran"),"",IFERROR(INDEX(Dashboard!$B$18:$B$39,MATCH(C564,Dashboard!$A$18:$A$39,0)),""))</f>
        <v/>
      </c>
    </row>
    <row r="565" customFormat="false" ht="15" hidden="false" customHeight="false" outlineLevel="0" collapsed="false">
      <c r="A565" s="24"/>
      <c r="B565" s="25"/>
      <c r="C565" s="25"/>
      <c r="D565" s="25"/>
      <c r="E565" s="6"/>
      <c r="F565" s="26" t="str">
        <f aca="false">IF(A565="","",MONTH(A565))</f>
        <v/>
      </c>
      <c r="G565" s="26" t="str">
        <f aca="false">IF(A565="","",YEAR(A565))</f>
        <v/>
      </c>
      <c r="H565" s="11" t="str">
        <f aca="false">IF(OR(C565="",B565&lt;&gt;"Pengeluaran"),"",IFERROR(INDEX(Dashboard!$B$18:$B$39,MATCH(C565,Dashboard!$A$18:$A$39,0)),""))</f>
        <v/>
      </c>
    </row>
    <row r="566" customFormat="false" ht="15" hidden="false" customHeight="false" outlineLevel="0" collapsed="false">
      <c r="A566" s="24"/>
      <c r="B566" s="25"/>
      <c r="C566" s="25"/>
      <c r="D566" s="25"/>
      <c r="E566" s="6"/>
      <c r="F566" s="26" t="str">
        <f aca="false">IF(A566="","",MONTH(A566))</f>
        <v/>
      </c>
      <c r="G566" s="26" t="str">
        <f aca="false">IF(A566="","",YEAR(A566))</f>
        <v/>
      </c>
      <c r="H566" s="11" t="str">
        <f aca="false">IF(OR(C566="",B566&lt;&gt;"Pengeluaran"),"",IFERROR(INDEX(Dashboard!$B$18:$B$39,MATCH(C566,Dashboard!$A$18:$A$39,0)),""))</f>
        <v/>
      </c>
    </row>
    <row r="567" customFormat="false" ht="15" hidden="false" customHeight="false" outlineLevel="0" collapsed="false">
      <c r="A567" s="24"/>
      <c r="B567" s="25"/>
      <c r="C567" s="25"/>
      <c r="D567" s="25"/>
      <c r="E567" s="6"/>
      <c r="F567" s="26" t="str">
        <f aca="false">IF(A567="","",MONTH(A567))</f>
        <v/>
      </c>
      <c r="G567" s="26" t="str">
        <f aca="false">IF(A567="","",YEAR(A567))</f>
        <v/>
      </c>
      <c r="H567" s="11" t="str">
        <f aca="false">IF(OR(C567="",B567&lt;&gt;"Pengeluaran"),"",IFERROR(INDEX(Dashboard!$B$18:$B$39,MATCH(C567,Dashboard!$A$18:$A$39,0)),""))</f>
        <v/>
      </c>
    </row>
    <row r="568" customFormat="false" ht="15" hidden="false" customHeight="false" outlineLevel="0" collapsed="false">
      <c r="A568" s="24"/>
      <c r="B568" s="25"/>
      <c r="C568" s="25"/>
      <c r="D568" s="25"/>
      <c r="E568" s="6"/>
      <c r="F568" s="26" t="str">
        <f aca="false">IF(A568="","",MONTH(A568))</f>
        <v/>
      </c>
      <c r="G568" s="26" t="str">
        <f aca="false">IF(A568="","",YEAR(A568))</f>
        <v/>
      </c>
      <c r="H568" s="11" t="str">
        <f aca="false">IF(OR(C568="",B568&lt;&gt;"Pengeluaran"),"",IFERROR(INDEX(Dashboard!$B$18:$B$39,MATCH(C568,Dashboard!$A$18:$A$39,0)),""))</f>
        <v/>
      </c>
    </row>
    <row r="569" customFormat="false" ht="15" hidden="false" customHeight="false" outlineLevel="0" collapsed="false">
      <c r="A569" s="24"/>
      <c r="B569" s="25"/>
      <c r="C569" s="25"/>
      <c r="D569" s="25"/>
      <c r="E569" s="6"/>
      <c r="F569" s="26" t="str">
        <f aca="false">IF(A569="","",MONTH(A569))</f>
        <v/>
      </c>
      <c r="G569" s="26" t="str">
        <f aca="false">IF(A569="","",YEAR(A569))</f>
        <v/>
      </c>
      <c r="H569" s="11" t="str">
        <f aca="false">IF(OR(C569="",B569&lt;&gt;"Pengeluaran"),"",IFERROR(INDEX(Dashboard!$B$18:$B$39,MATCH(C569,Dashboard!$A$18:$A$39,0)),""))</f>
        <v/>
      </c>
    </row>
    <row r="570" customFormat="false" ht="15" hidden="false" customHeight="false" outlineLevel="0" collapsed="false">
      <c r="A570" s="24"/>
      <c r="B570" s="25"/>
      <c r="C570" s="25"/>
      <c r="D570" s="25"/>
      <c r="E570" s="6"/>
      <c r="F570" s="26" t="str">
        <f aca="false">IF(A570="","",MONTH(A570))</f>
        <v/>
      </c>
      <c r="G570" s="26" t="str">
        <f aca="false">IF(A570="","",YEAR(A570))</f>
        <v/>
      </c>
      <c r="H570" s="11" t="str">
        <f aca="false">IF(OR(C570="",B570&lt;&gt;"Pengeluaran"),"",IFERROR(INDEX(Dashboard!$B$18:$B$39,MATCH(C570,Dashboard!$A$18:$A$39,0)),""))</f>
        <v/>
      </c>
    </row>
    <row r="571" customFormat="false" ht="15" hidden="false" customHeight="false" outlineLevel="0" collapsed="false">
      <c r="A571" s="24"/>
      <c r="B571" s="25"/>
      <c r="C571" s="25"/>
      <c r="D571" s="25"/>
      <c r="E571" s="6"/>
      <c r="F571" s="26" t="str">
        <f aca="false">IF(A571="","",MONTH(A571))</f>
        <v/>
      </c>
      <c r="G571" s="26" t="str">
        <f aca="false">IF(A571="","",YEAR(A571))</f>
        <v/>
      </c>
      <c r="H571" s="11" t="str">
        <f aca="false">IF(OR(C571="",B571&lt;&gt;"Pengeluaran"),"",IFERROR(INDEX(Dashboard!$B$18:$B$39,MATCH(C571,Dashboard!$A$18:$A$39,0)),""))</f>
        <v/>
      </c>
    </row>
    <row r="572" customFormat="false" ht="15" hidden="false" customHeight="false" outlineLevel="0" collapsed="false">
      <c r="A572" s="24"/>
      <c r="B572" s="25"/>
      <c r="C572" s="25"/>
      <c r="D572" s="25"/>
      <c r="E572" s="6"/>
      <c r="F572" s="26" t="str">
        <f aca="false">IF(A572="","",MONTH(A572))</f>
        <v/>
      </c>
      <c r="G572" s="26" t="str">
        <f aca="false">IF(A572="","",YEAR(A572))</f>
        <v/>
      </c>
      <c r="H572" s="11" t="str">
        <f aca="false">IF(OR(C572="",B572&lt;&gt;"Pengeluaran"),"",IFERROR(INDEX(Dashboard!$B$18:$B$39,MATCH(C572,Dashboard!$A$18:$A$39,0)),""))</f>
        <v/>
      </c>
    </row>
    <row r="573" customFormat="false" ht="15" hidden="false" customHeight="false" outlineLevel="0" collapsed="false">
      <c r="A573" s="24"/>
      <c r="B573" s="25"/>
      <c r="C573" s="25"/>
      <c r="D573" s="25"/>
      <c r="E573" s="6"/>
      <c r="F573" s="26" t="str">
        <f aca="false">IF(A573="","",MONTH(A573))</f>
        <v/>
      </c>
      <c r="G573" s="26" t="str">
        <f aca="false">IF(A573="","",YEAR(A573))</f>
        <v/>
      </c>
      <c r="H573" s="11" t="str">
        <f aca="false">IF(OR(C573="",B573&lt;&gt;"Pengeluaran"),"",IFERROR(INDEX(Dashboard!$B$18:$B$39,MATCH(C573,Dashboard!$A$18:$A$39,0)),""))</f>
        <v/>
      </c>
    </row>
    <row r="574" customFormat="false" ht="15" hidden="false" customHeight="false" outlineLevel="0" collapsed="false">
      <c r="A574" s="24"/>
      <c r="B574" s="25"/>
      <c r="C574" s="25"/>
      <c r="D574" s="25"/>
      <c r="E574" s="6"/>
      <c r="F574" s="26" t="str">
        <f aca="false">IF(A574="","",MONTH(A574))</f>
        <v/>
      </c>
      <c r="G574" s="26" t="str">
        <f aca="false">IF(A574="","",YEAR(A574))</f>
        <v/>
      </c>
      <c r="H574" s="11" t="str">
        <f aca="false">IF(OR(C574="",B574&lt;&gt;"Pengeluaran"),"",IFERROR(INDEX(Dashboard!$B$18:$B$39,MATCH(C574,Dashboard!$A$18:$A$39,0)),""))</f>
        <v/>
      </c>
    </row>
    <row r="575" customFormat="false" ht="15" hidden="false" customHeight="false" outlineLevel="0" collapsed="false">
      <c r="A575" s="24"/>
      <c r="B575" s="25"/>
      <c r="C575" s="25"/>
      <c r="D575" s="25"/>
      <c r="E575" s="6"/>
      <c r="F575" s="26" t="str">
        <f aca="false">IF(A575="","",MONTH(A575))</f>
        <v/>
      </c>
      <c r="G575" s="26" t="str">
        <f aca="false">IF(A575="","",YEAR(A575))</f>
        <v/>
      </c>
      <c r="H575" s="11" t="str">
        <f aca="false">IF(OR(C575="",B575&lt;&gt;"Pengeluaran"),"",IFERROR(INDEX(Dashboard!$B$18:$B$39,MATCH(C575,Dashboard!$A$18:$A$39,0)),""))</f>
        <v/>
      </c>
    </row>
    <row r="576" customFormat="false" ht="15" hidden="false" customHeight="false" outlineLevel="0" collapsed="false">
      <c r="A576" s="24"/>
      <c r="B576" s="25"/>
      <c r="C576" s="25"/>
      <c r="D576" s="25"/>
      <c r="E576" s="6"/>
      <c r="F576" s="26" t="str">
        <f aca="false">IF(A576="","",MONTH(A576))</f>
        <v/>
      </c>
      <c r="G576" s="26" t="str">
        <f aca="false">IF(A576="","",YEAR(A576))</f>
        <v/>
      </c>
      <c r="H576" s="11" t="str">
        <f aca="false">IF(OR(C576="",B576&lt;&gt;"Pengeluaran"),"",IFERROR(INDEX(Dashboard!$B$18:$B$39,MATCH(C576,Dashboard!$A$18:$A$39,0)),""))</f>
        <v/>
      </c>
    </row>
    <row r="577" customFormat="false" ht="15" hidden="false" customHeight="false" outlineLevel="0" collapsed="false">
      <c r="A577" s="24"/>
      <c r="B577" s="25"/>
      <c r="C577" s="25"/>
      <c r="D577" s="25"/>
      <c r="E577" s="6"/>
      <c r="F577" s="26" t="str">
        <f aca="false">IF(A577="","",MONTH(A577))</f>
        <v/>
      </c>
      <c r="G577" s="26" t="str">
        <f aca="false">IF(A577="","",YEAR(A577))</f>
        <v/>
      </c>
      <c r="H577" s="11" t="str">
        <f aca="false">IF(OR(C577="",B577&lt;&gt;"Pengeluaran"),"",IFERROR(INDEX(Dashboard!$B$18:$B$39,MATCH(C577,Dashboard!$A$18:$A$39,0)),""))</f>
        <v/>
      </c>
    </row>
    <row r="578" customFormat="false" ht="15" hidden="false" customHeight="false" outlineLevel="0" collapsed="false">
      <c r="A578" s="24"/>
      <c r="B578" s="25"/>
      <c r="C578" s="25"/>
      <c r="D578" s="25"/>
      <c r="E578" s="6"/>
      <c r="F578" s="26" t="str">
        <f aca="false">IF(A578="","",MONTH(A578))</f>
        <v/>
      </c>
      <c r="G578" s="26" t="str">
        <f aca="false">IF(A578="","",YEAR(A578))</f>
        <v/>
      </c>
      <c r="H578" s="11" t="str">
        <f aca="false">IF(OR(C578="",B578&lt;&gt;"Pengeluaran"),"",IFERROR(INDEX(Dashboard!$B$18:$B$39,MATCH(C578,Dashboard!$A$18:$A$39,0)),""))</f>
        <v/>
      </c>
    </row>
    <row r="579" customFormat="false" ht="15" hidden="false" customHeight="false" outlineLevel="0" collapsed="false">
      <c r="A579" s="24"/>
      <c r="B579" s="25"/>
      <c r="C579" s="25"/>
      <c r="D579" s="25"/>
      <c r="E579" s="6"/>
      <c r="F579" s="26" t="str">
        <f aca="false">IF(A579="","",MONTH(A579))</f>
        <v/>
      </c>
      <c r="G579" s="26" t="str">
        <f aca="false">IF(A579="","",YEAR(A579))</f>
        <v/>
      </c>
      <c r="H579" s="11" t="str">
        <f aca="false">IF(OR(C579="",B579&lt;&gt;"Pengeluaran"),"",IFERROR(INDEX(Dashboard!$B$18:$B$39,MATCH(C579,Dashboard!$A$18:$A$39,0)),""))</f>
        <v/>
      </c>
    </row>
    <row r="580" customFormat="false" ht="15" hidden="false" customHeight="false" outlineLevel="0" collapsed="false">
      <c r="A580" s="24"/>
      <c r="B580" s="25"/>
      <c r="C580" s="25"/>
      <c r="D580" s="25"/>
      <c r="E580" s="6"/>
      <c r="F580" s="26" t="str">
        <f aca="false">IF(A580="","",MONTH(A580))</f>
        <v/>
      </c>
      <c r="G580" s="26" t="str">
        <f aca="false">IF(A580="","",YEAR(A580))</f>
        <v/>
      </c>
      <c r="H580" s="11" t="str">
        <f aca="false">IF(OR(C580="",B580&lt;&gt;"Pengeluaran"),"",IFERROR(INDEX(Dashboard!$B$18:$B$39,MATCH(C580,Dashboard!$A$18:$A$39,0)),""))</f>
        <v/>
      </c>
    </row>
    <row r="581" customFormat="false" ht="15" hidden="false" customHeight="false" outlineLevel="0" collapsed="false">
      <c r="A581" s="24"/>
      <c r="B581" s="25"/>
      <c r="C581" s="25"/>
      <c r="D581" s="25"/>
      <c r="E581" s="6"/>
      <c r="F581" s="26" t="str">
        <f aca="false">IF(A581="","",MONTH(A581))</f>
        <v/>
      </c>
      <c r="G581" s="26" t="str">
        <f aca="false">IF(A581="","",YEAR(A581))</f>
        <v/>
      </c>
      <c r="H581" s="11" t="str">
        <f aca="false">IF(OR(C581="",B581&lt;&gt;"Pengeluaran"),"",IFERROR(INDEX(Dashboard!$B$18:$B$39,MATCH(C581,Dashboard!$A$18:$A$39,0)),""))</f>
        <v/>
      </c>
    </row>
    <row r="582" customFormat="false" ht="15" hidden="false" customHeight="false" outlineLevel="0" collapsed="false">
      <c r="A582" s="24"/>
      <c r="B582" s="25"/>
      <c r="C582" s="25"/>
      <c r="D582" s="25"/>
      <c r="E582" s="6"/>
      <c r="F582" s="26" t="str">
        <f aca="false">IF(A582="","",MONTH(A582))</f>
        <v/>
      </c>
      <c r="G582" s="26" t="str">
        <f aca="false">IF(A582="","",YEAR(A582))</f>
        <v/>
      </c>
      <c r="H582" s="11" t="str">
        <f aca="false">IF(OR(C582="",B582&lt;&gt;"Pengeluaran"),"",IFERROR(INDEX(Dashboard!$B$18:$B$39,MATCH(C582,Dashboard!$A$18:$A$39,0)),""))</f>
        <v/>
      </c>
    </row>
    <row r="583" customFormat="false" ht="15" hidden="false" customHeight="false" outlineLevel="0" collapsed="false">
      <c r="A583" s="24"/>
      <c r="B583" s="25"/>
      <c r="C583" s="25"/>
      <c r="D583" s="25"/>
      <c r="E583" s="6"/>
      <c r="F583" s="26" t="str">
        <f aca="false">IF(A583="","",MONTH(A583))</f>
        <v/>
      </c>
      <c r="G583" s="26" t="str">
        <f aca="false">IF(A583="","",YEAR(A583))</f>
        <v/>
      </c>
      <c r="H583" s="11" t="str">
        <f aca="false">IF(OR(C583="",B583&lt;&gt;"Pengeluaran"),"",IFERROR(INDEX(Dashboard!$B$18:$B$39,MATCH(C583,Dashboard!$A$18:$A$39,0)),""))</f>
        <v/>
      </c>
    </row>
    <row r="584" customFormat="false" ht="15" hidden="false" customHeight="false" outlineLevel="0" collapsed="false">
      <c r="A584" s="24"/>
      <c r="B584" s="25"/>
      <c r="C584" s="25"/>
      <c r="D584" s="25"/>
      <c r="E584" s="6"/>
      <c r="F584" s="26" t="str">
        <f aca="false">IF(A584="","",MONTH(A584))</f>
        <v/>
      </c>
      <c r="G584" s="26" t="str">
        <f aca="false">IF(A584="","",YEAR(A584))</f>
        <v/>
      </c>
      <c r="H584" s="11" t="str">
        <f aca="false">IF(OR(C584="",B584&lt;&gt;"Pengeluaran"),"",IFERROR(INDEX(Dashboard!$B$18:$B$39,MATCH(C584,Dashboard!$A$18:$A$39,0)),""))</f>
        <v/>
      </c>
    </row>
    <row r="585" customFormat="false" ht="15" hidden="false" customHeight="false" outlineLevel="0" collapsed="false">
      <c r="A585" s="24"/>
      <c r="B585" s="25"/>
      <c r="C585" s="25"/>
      <c r="D585" s="25"/>
      <c r="E585" s="6"/>
      <c r="F585" s="26" t="str">
        <f aca="false">IF(A585="","",MONTH(A585))</f>
        <v/>
      </c>
      <c r="G585" s="26" t="str">
        <f aca="false">IF(A585="","",YEAR(A585))</f>
        <v/>
      </c>
      <c r="H585" s="11" t="str">
        <f aca="false">IF(OR(C585="",B585&lt;&gt;"Pengeluaran"),"",IFERROR(INDEX(Dashboard!$B$18:$B$39,MATCH(C585,Dashboard!$A$18:$A$39,0)),""))</f>
        <v/>
      </c>
    </row>
    <row r="586" customFormat="false" ht="15" hidden="false" customHeight="false" outlineLevel="0" collapsed="false">
      <c r="A586" s="24"/>
      <c r="B586" s="25"/>
      <c r="C586" s="25"/>
      <c r="D586" s="25"/>
      <c r="E586" s="6"/>
      <c r="F586" s="26" t="str">
        <f aca="false">IF(A586="","",MONTH(A586))</f>
        <v/>
      </c>
      <c r="G586" s="26" t="str">
        <f aca="false">IF(A586="","",YEAR(A586))</f>
        <v/>
      </c>
      <c r="H586" s="11" t="str">
        <f aca="false">IF(OR(C586="",B586&lt;&gt;"Pengeluaran"),"",IFERROR(INDEX(Dashboard!$B$18:$B$39,MATCH(C586,Dashboard!$A$18:$A$39,0)),""))</f>
        <v/>
      </c>
    </row>
    <row r="587" customFormat="false" ht="15" hidden="false" customHeight="false" outlineLevel="0" collapsed="false">
      <c r="A587" s="24"/>
      <c r="B587" s="25"/>
      <c r="C587" s="25"/>
      <c r="D587" s="25"/>
      <c r="E587" s="6"/>
      <c r="F587" s="26" t="str">
        <f aca="false">IF(A587="","",MONTH(A587))</f>
        <v/>
      </c>
      <c r="G587" s="26" t="str">
        <f aca="false">IF(A587="","",YEAR(A587))</f>
        <v/>
      </c>
      <c r="H587" s="11" t="str">
        <f aca="false">IF(OR(C587="",B587&lt;&gt;"Pengeluaran"),"",IFERROR(INDEX(Dashboard!$B$18:$B$39,MATCH(C587,Dashboard!$A$18:$A$39,0)),""))</f>
        <v/>
      </c>
    </row>
    <row r="588" customFormat="false" ht="15" hidden="false" customHeight="false" outlineLevel="0" collapsed="false">
      <c r="A588" s="24"/>
      <c r="B588" s="25"/>
      <c r="C588" s="25"/>
      <c r="D588" s="25"/>
      <c r="E588" s="6"/>
      <c r="F588" s="26" t="str">
        <f aca="false">IF(A588="","",MONTH(A588))</f>
        <v/>
      </c>
      <c r="G588" s="26" t="str">
        <f aca="false">IF(A588="","",YEAR(A588))</f>
        <v/>
      </c>
      <c r="H588" s="11" t="str">
        <f aca="false">IF(OR(C588="",B588&lt;&gt;"Pengeluaran"),"",IFERROR(INDEX(Dashboard!$B$18:$B$39,MATCH(C588,Dashboard!$A$18:$A$39,0)),""))</f>
        <v/>
      </c>
    </row>
    <row r="589" customFormat="false" ht="15" hidden="false" customHeight="false" outlineLevel="0" collapsed="false">
      <c r="A589" s="24"/>
      <c r="B589" s="25"/>
      <c r="C589" s="25"/>
      <c r="D589" s="25"/>
      <c r="E589" s="6"/>
      <c r="F589" s="26" t="str">
        <f aca="false">IF(A589="","",MONTH(A589))</f>
        <v/>
      </c>
      <c r="G589" s="26" t="str">
        <f aca="false">IF(A589="","",YEAR(A589))</f>
        <v/>
      </c>
      <c r="H589" s="11" t="str">
        <f aca="false">IF(OR(C589="",B589&lt;&gt;"Pengeluaran"),"",IFERROR(INDEX(Dashboard!$B$18:$B$39,MATCH(C589,Dashboard!$A$18:$A$39,0)),""))</f>
        <v/>
      </c>
    </row>
    <row r="590" customFormat="false" ht="15" hidden="false" customHeight="false" outlineLevel="0" collapsed="false">
      <c r="A590" s="24"/>
      <c r="B590" s="25"/>
      <c r="C590" s="25"/>
      <c r="D590" s="25"/>
      <c r="E590" s="6"/>
      <c r="F590" s="26" t="str">
        <f aca="false">IF(A590="","",MONTH(A590))</f>
        <v/>
      </c>
      <c r="G590" s="26" t="str">
        <f aca="false">IF(A590="","",YEAR(A590))</f>
        <v/>
      </c>
      <c r="H590" s="11" t="str">
        <f aca="false">IF(OR(C590="",B590&lt;&gt;"Pengeluaran"),"",IFERROR(INDEX(Dashboard!$B$18:$B$39,MATCH(C590,Dashboard!$A$18:$A$39,0)),""))</f>
        <v/>
      </c>
    </row>
    <row r="591" customFormat="false" ht="15" hidden="false" customHeight="false" outlineLevel="0" collapsed="false">
      <c r="A591" s="24"/>
      <c r="B591" s="25"/>
      <c r="C591" s="25"/>
      <c r="D591" s="25"/>
      <c r="E591" s="6"/>
      <c r="F591" s="26" t="str">
        <f aca="false">IF(A591="","",MONTH(A591))</f>
        <v/>
      </c>
      <c r="G591" s="26" t="str">
        <f aca="false">IF(A591="","",YEAR(A591))</f>
        <v/>
      </c>
      <c r="H591" s="11" t="str">
        <f aca="false">IF(OR(C591="",B591&lt;&gt;"Pengeluaran"),"",IFERROR(INDEX(Dashboard!$B$18:$B$39,MATCH(C591,Dashboard!$A$18:$A$39,0)),""))</f>
        <v/>
      </c>
    </row>
    <row r="592" customFormat="false" ht="15" hidden="false" customHeight="false" outlineLevel="0" collapsed="false">
      <c r="A592" s="24"/>
      <c r="B592" s="25"/>
      <c r="C592" s="25"/>
      <c r="D592" s="25"/>
      <c r="E592" s="6"/>
      <c r="F592" s="26" t="str">
        <f aca="false">IF(A592="","",MONTH(A592))</f>
        <v/>
      </c>
      <c r="G592" s="26" t="str">
        <f aca="false">IF(A592="","",YEAR(A592))</f>
        <v/>
      </c>
      <c r="H592" s="11" t="str">
        <f aca="false">IF(OR(C592="",B592&lt;&gt;"Pengeluaran"),"",IFERROR(INDEX(Dashboard!$B$18:$B$39,MATCH(C592,Dashboard!$A$18:$A$39,0)),""))</f>
        <v/>
      </c>
    </row>
    <row r="593" customFormat="false" ht="15" hidden="false" customHeight="false" outlineLevel="0" collapsed="false">
      <c r="A593" s="24"/>
      <c r="B593" s="25"/>
      <c r="C593" s="25"/>
      <c r="D593" s="25"/>
      <c r="E593" s="6"/>
      <c r="F593" s="26" t="str">
        <f aca="false">IF(A593="","",MONTH(A593))</f>
        <v/>
      </c>
      <c r="G593" s="26" t="str">
        <f aca="false">IF(A593="","",YEAR(A593))</f>
        <v/>
      </c>
      <c r="H593" s="11" t="str">
        <f aca="false">IF(OR(C593="",B593&lt;&gt;"Pengeluaran"),"",IFERROR(INDEX(Dashboard!$B$18:$B$39,MATCH(C593,Dashboard!$A$18:$A$39,0)),""))</f>
        <v/>
      </c>
    </row>
    <row r="594" customFormat="false" ht="15" hidden="false" customHeight="false" outlineLevel="0" collapsed="false">
      <c r="A594" s="24"/>
      <c r="B594" s="25"/>
      <c r="C594" s="25"/>
      <c r="D594" s="25"/>
      <c r="E594" s="6"/>
      <c r="F594" s="26" t="str">
        <f aca="false">IF(A594="","",MONTH(A594))</f>
        <v/>
      </c>
      <c r="G594" s="26" t="str">
        <f aca="false">IF(A594="","",YEAR(A594))</f>
        <v/>
      </c>
      <c r="H594" s="11" t="str">
        <f aca="false">IF(OR(C594="",B594&lt;&gt;"Pengeluaran"),"",IFERROR(INDEX(Dashboard!$B$18:$B$39,MATCH(C594,Dashboard!$A$18:$A$39,0)),""))</f>
        <v/>
      </c>
    </row>
    <row r="595" customFormat="false" ht="15" hidden="false" customHeight="false" outlineLevel="0" collapsed="false">
      <c r="A595" s="24"/>
      <c r="B595" s="25"/>
      <c r="C595" s="25"/>
      <c r="D595" s="25"/>
      <c r="E595" s="6"/>
      <c r="F595" s="26" t="str">
        <f aca="false">IF(A595="","",MONTH(A595))</f>
        <v/>
      </c>
      <c r="G595" s="26" t="str">
        <f aca="false">IF(A595="","",YEAR(A595))</f>
        <v/>
      </c>
      <c r="H595" s="11" t="str">
        <f aca="false">IF(OR(C595="",B595&lt;&gt;"Pengeluaran"),"",IFERROR(INDEX(Dashboard!$B$18:$B$39,MATCH(C595,Dashboard!$A$18:$A$39,0)),""))</f>
        <v/>
      </c>
    </row>
    <row r="596" customFormat="false" ht="15" hidden="false" customHeight="false" outlineLevel="0" collapsed="false">
      <c r="A596" s="24"/>
      <c r="B596" s="25"/>
      <c r="C596" s="25"/>
      <c r="D596" s="25"/>
      <c r="E596" s="6"/>
      <c r="F596" s="26" t="str">
        <f aca="false">IF(A596="","",MONTH(A596))</f>
        <v/>
      </c>
      <c r="G596" s="26" t="str">
        <f aca="false">IF(A596="","",YEAR(A596))</f>
        <v/>
      </c>
      <c r="H596" s="11" t="str">
        <f aca="false">IF(OR(C596="",B596&lt;&gt;"Pengeluaran"),"",IFERROR(INDEX(Dashboard!$B$18:$B$39,MATCH(C596,Dashboard!$A$18:$A$39,0)),""))</f>
        <v/>
      </c>
    </row>
    <row r="597" customFormat="false" ht="15" hidden="false" customHeight="false" outlineLevel="0" collapsed="false">
      <c r="A597" s="24"/>
      <c r="B597" s="25"/>
      <c r="C597" s="25"/>
      <c r="D597" s="25"/>
      <c r="E597" s="6"/>
      <c r="F597" s="26" t="str">
        <f aca="false">IF(A597="","",MONTH(A597))</f>
        <v/>
      </c>
      <c r="G597" s="26" t="str">
        <f aca="false">IF(A597="","",YEAR(A597))</f>
        <v/>
      </c>
      <c r="H597" s="11" t="str">
        <f aca="false">IF(OR(C597="",B597&lt;&gt;"Pengeluaran"),"",IFERROR(INDEX(Dashboard!$B$18:$B$39,MATCH(C597,Dashboard!$A$18:$A$39,0)),""))</f>
        <v/>
      </c>
    </row>
    <row r="598" customFormat="false" ht="15" hidden="false" customHeight="false" outlineLevel="0" collapsed="false">
      <c r="A598" s="24"/>
      <c r="B598" s="25"/>
      <c r="C598" s="25"/>
      <c r="D598" s="25"/>
      <c r="E598" s="6"/>
      <c r="F598" s="26" t="str">
        <f aca="false">IF(A598="","",MONTH(A598))</f>
        <v/>
      </c>
      <c r="G598" s="26" t="str">
        <f aca="false">IF(A598="","",YEAR(A598))</f>
        <v/>
      </c>
      <c r="H598" s="11" t="str">
        <f aca="false">IF(OR(C598="",B598&lt;&gt;"Pengeluaran"),"",IFERROR(INDEX(Dashboard!$B$18:$B$39,MATCH(C598,Dashboard!$A$18:$A$39,0)),""))</f>
        <v/>
      </c>
    </row>
    <row r="599" customFormat="false" ht="15" hidden="false" customHeight="false" outlineLevel="0" collapsed="false">
      <c r="A599" s="24"/>
      <c r="B599" s="25"/>
      <c r="C599" s="25"/>
      <c r="D599" s="25"/>
      <c r="E599" s="6"/>
      <c r="F599" s="26" t="str">
        <f aca="false">IF(A599="","",MONTH(A599))</f>
        <v/>
      </c>
      <c r="G599" s="26" t="str">
        <f aca="false">IF(A599="","",YEAR(A599))</f>
        <v/>
      </c>
      <c r="H599" s="11" t="str">
        <f aca="false">IF(OR(C599="",B599&lt;&gt;"Pengeluaran"),"",IFERROR(INDEX(Dashboard!$B$18:$B$39,MATCH(C599,Dashboard!$A$18:$A$39,0)),""))</f>
        <v/>
      </c>
    </row>
    <row r="600" customFormat="false" ht="15" hidden="false" customHeight="false" outlineLevel="0" collapsed="false">
      <c r="A600" s="24"/>
      <c r="B600" s="25"/>
      <c r="C600" s="25"/>
      <c r="D600" s="25"/>
      <c r="E600" s="6"/>
      <c r="F600" s="26" t="str">
        <f aca="false">IF(A600="","",MONTH(A600))</f>
        <v/>
      </c>
      <c r="G600" s="26" t="str">
        <f aca="false">IF(A600="","",YEAR(A600))</f>
        <v/>
      </c>
      <c r="H600" s="11" t="str">
        <f aca="false">IF(OR(C600="",B600&lt;&gt;"Pengeluaran"),"",IFERROR(INDEX(Dashboard!$B$18:$B$39,MATCH(C600,Dashboard!$A$18:$A$39,0)),""))</f>
        <v/>
      </c>
    </row>
    <row r="601" customFormat="false" ht="15" hidden="false" customHeight="false" outlineLevel="0" collapsed="false">
      <c r="A601" s="24"/>
      <c r="B601" s="25"/>
      <c r="C601" s="25"/>
      <c r="D601" s="25"/>
      <c r="E601" s="6"/>
      <c r="F601" s="26" t="str">
        <f aca="false">IF(A601="","",MONTH(A601))</f>
        <v/>
      </c>
      <c r="G601" s="26" t="str">
        <f aca="false">IF(A601="","",YEAR(A601))</f>
        <v/>
      </c>
      <c r="H601" s="11" t="str">
        <f aca="false">IF(OR(C601="",B601&lt;&gt;"Pengeluaran"),"",IFERROR(INDEX(Dashboard!$B$18:$B$39,MATCH(C601,Dashboard!$A$18:$A$39,0)),""))</f>
        <v/>
      </c>
    </row>
    <row r="602" customFormat="false" ht="15" hidden="false" customHeight="false" outlineLevel="0" collapsed="false">
      <c r="A602" s="24"/>
      <c r="B602" s="25"/>
      <c r="C602" s="25"/>
      <c r="D602" s="25"/>
      <c r="E602" s="6"/>
      <c r="F602" s="26" t="str">
        <f aca="false">IF(A602="","",MONTH(A602))</f>
        <v/>
      </c>
      <c r="G602" s="26" t="str">
        <f aca="false">IF(A602="","",YEAR(A602))</f>
        <v/>
      </c>
      <c r="H602" s="11" t="str">
        <f aca="false">IF(OR(C602="",B602&lt;&gt;"Pengeluaran"),"",IFERROR(INDEX(Dashboard!$B$18:$B$39,MATCH(C602,Dashboard!$A$18:$A$39,0)),""))</f>
        <v/>
      </c>
    </row>
    <row r="603" customFormat="false" ht="15" hidden="false" customHeight="false" outlineLevel="0" collapsed="false">
      <c r="A603" s="24"/>
      <c r="B603" s="25"/>
      <c r="C603" s="25"/>
      <c r="D603" s="25"/>
      <c r="E603" s="6"/>
      <c r="F603" s="26" t="str">
        <f aca="false">IF(A603="","",MONTH(A603))</f>
        <v/>
      </c>
      <c r="G603" s="26" t="str">
        <f aca="false">IF(A603="","",YEAR(A603))</f>
        <v/>
      </c>
      <c r="H603" s="11" t="str">
        <f aca="false">IF(OR(C603="",B603&lt;&gt;"Pengeluaran"),"",IFERROR(INDEX(Dashboard!$B$18:$B$39,MATCH(C603,Dashboard!$A$18:$A$39,0)),""))</f>
        <v/>
      </c>
    </row>
    <row r="604" customFormat="false" ht="15" hidden="false" customHeight="false" outlineLevel="0" collapsed="false">
      <c r="A604" s="24"/>
      <c r="B604" s="25"/>
      <c r="C604" s="25"/>
      <c r="D604" s="25"/>
      <c r="E604" s="6"/>
      <c r="F604" s="26" t="str">
        <f aca="false">IF(A604="","",MONTH(A604))</f>
        <v/>
      </c>
      <c r="G604" s="26" t="str">
        <f aca="false">IF(A604="","",YEAR(A604))</f>
        <v/>
      </c>
      <c r="H604" s="11" t="str">
        <f aca="false">IF(OR(C604="",B604&lt;&gt;"Pengeluaran"),"",IFERROR(INDEX(Dashboard!$B$18:$B$39,MATCH(C604,Dashboard!$A$18:$A$39,0)),""))</f>
        <v/>
      </c>
    </row>
    <row r="605" customFormat="false" ht="15" hidden="false" customHeight="false" outlineLevel="0" collapsed="false">
      <c r="A605" s="24"/>
      <c r="B605" s="25"/>
      <c r="C605" s="25"/>
      <c r="D605" s="25"/>
      <c r="E605" s="6"/>
      <c r="F605" s="26" t="str">
        <f aca="false">IF(A605="","",MONTH(A605))</f>
        <v/>
      </c>
      <c r="G605" s="26" t="str">
        <f aca="false">IF(A605="","",YEAR(A605))</f>
        <v/>
      </c>
      <c r="H605" s="11" t="str">
        <f aca="false">IF(OR(C605="",B605&lt;&gt;"Pengeluaran"),"",IFERROR(INDEX(Dashboard!$B$18:$B$39,MATCH(C605,Dashboard!$A$18:$A$39,0)),""))</f>
        <v/>
      </c>
    </row>
    <row r="606" customFormat="false" ht="15" hidden="false" customHeight="false" outlineLevel="0" collapsed="false">
      <c r="A606" s="24"/>
      <c r="B606" s="25"/>
      <c r="C606" s="25"/>
      <c r="D606" s="25"/>
      <c r="E606" s="6"/>
      <c r="F606" s="26" t="str">
        <f aca="false">IF(A606="","",MONTH(A606))</f>
        <v/>
      </c>
      <c r="G606" s="26" t="str">
        <f aca="false">IF(A606="","",YEAR(A606))</f>
        <v/>
      </c>
      <c r="H606" s="11" t="str">
        <f aca="false">IF(OR(C606="",B606&lt;&gt;"Pengeluaran"),"",IFERROR(INDEX(Dashboard!$B$18:$B$39,MATCH(C606,Dashboard!$A$18:$A$39,0)),""))</f>
        <v/>
      </c>
    </row>
    <row r="607" customFormat="false" ht="15" hidden="false" customHeight="false" outlineLevel="0" collapsed="false">
      <c r="A607" s="24"/>
      <c r="B607" s="25"/>
      <c r="C607" s="25"/>
      <c r="D607" s="25"/>
      <c r="E607" s="6"/>
      <c r="F607" s="26" t="str">
        <f aca="false">IF(A607="","",MONTH(A607))</f>
        <v/>
      </c>
      <c r="G607" s="26" t="str">
        <f aca="false">IF(A607="","",YEAR(A607))</f>
        <v/>
      </c>
      <c r="H607" s="11" t="str">
        <f aca="false">IF(OR(C607="",B607&lt;&gt;"Pengeluaran"),"",IFERROR(INDEX(Dashboard!$B$18:$B$39,MATCH(C607,Dashboard!$A$18:$A$39,0)),""))</f>
        <v/>
      </c>
    </row>
    <row r="608" customFormat="false" ht="15" hidden="false" customHeight="false" outlineLevel="0" collapsed="false">
      <c r="A608" s="24"/>
      <c r="B608" s="25"/>
      <c r="C608" s="25"/>
      <c r="D608" s="25"/>
      <c r="E608" s="6"/>
      <c r="F608" s="26" t="str">
        <f aca="false">IF(A608="","",MONTH(A608))</f>
        <v/>
      </c>
      <c r="G608" s="26" t="str">
        <f aca="false">IF(A608="","",YEAR(A608))</f>
        <v/>
      </c>
      <c r="H608" s="11" t="str">
        <f aca="false">IF(OR(C608="",B608&lt;&gt;"Pengeluaran"),"",IFERROR(INDEX(Dashboard!$B$18:$B$39,MATCH(C608,Dashboard!$A$18:$A$39,0)),""))</f>
        <v/>
      </c>
    </row>
    <row r="609" customFormat="false" ht="15" hidden="false" customHeight="false" outlineLevel="0" collapsed="false">
      <c r="A609" s="24"/>
      <c r="B609" s="25"/>
      <c r="C609" s="25"/>
      <c r="D609" s="25"/>
      <c r="E609" s="6"/>
      <c r="F609" s="26" t="str">
        <f aca="false">IF(A609="","",MONTH(A609))</f>
        <v/>
      </c>
      <c r="G609" s="26" t="str">
        <f aca="false">IF(A609="","",YEAR(A609))</f>
        <v/>
      </c>
      <c r="H609" s="11" t="str">
        <f aca="false">IF(OR(C609="",B609&lt;&gt;"Pengeluaran"),"",IFERROR(INDEX(Dashboard!$B$18:$B$39,MATCH(C609,Dashboard!$A$18:$A$39,0)),""))</f>
        <v/>
      </c>
    </row>
    <row r="610" customFormat="false" ht="15" hidden="false" customHeight="false" outlineLevel="0" collapsed="false">
      <c r="A610" s="24"/>
      <c r="B610" s="25"/>
      <c r="C610" s="25"/>
      <c r="D610" s="25"/>
      <c r="E610" s="6"/>
      <c r="F610" s="26" t="str">
        <f aca="false">IF(A610="","",MONTH(A610))</f>
        <v/>
      </c>
      <c r="G610" s="26" t="str">
        <f aca="false">IF(A610="","",YEAR(A610))</f>
        <v/>
      </c>
      <c r="H610" s="11" t="str">
        <f aca="false">IF(OR(C610="",B610&lt;&gt;"Pengeluaran"),"",IFERROR(INDEX(Dashboard!$B$18:$B$39,MATCH(C610,Dashboard!$A$18:$A$39,0)),""))</f>
        <v/>
      </c>
    </row>
    <row r="611" customFormat="false" ht="15" hidden="false" customHeight="false" outlineLevel="0" collapsed="false">
      <c r="A611" s="24"/>
      <c r="B611" s="25"/>
      <c r="C611" s="25"/>
      <c r="D611" s="25"/>
      <c r="E611" s="6"/>
      <c r="F611" s="26" t="str">
        <f aca="false">IF(A611="","",MONTH(A611))</f>
        <v/>
      </c>
      <c r="G611" s="26" t="str">
        <f aca="false">IF(A611="","",YEAR(A611))</f>
        <v/>
      </c>
      <c r="H611" s="11" t="str">
        <f aca="false">IF(OR(C611="",B611&lt;&gt;"Pengeluaran"),"",IFERROR(INDEX(Dashboard!$B$18:$B$39,MATCH(C611,Dashboard!$A$18:$A$39,0)),""))</f>
        <v/>
      </c>
    </row>
    <row r="612" customFormat="false" ht="15" hidden="false" customHeight="false" outlineLevel="0" collapsed="false">
      <c r="A612" s="24"/>
      <c r="B612" s="25"/>
      <c r="C612" s="25"/>
      <c r="D612" s="25"/>
      <c r="E612" s="6"/>
      <c r="F612" s="26" t="str">
        <f aca="false">IF(A612="","",MONTH(A612))</f>
        <v/>
      </c>
      <c r="G612" s="26" t="str">
        <f aca="false">IF(A612="","",YEAR(A612))</f>
        <v/>
      </c>
      <c r="H612" s="11" t="str">
        <f aca="false">IF(OR(C612="",B612&lt;&gt;"Pengeluaran"),"",IFERROR(INDEX(Dashboard!$B$18:$B$39,MATCH(C612,Dashboard!$A$18:$A$39,0)),""))</f>
        <v/>
      </c>
    </row>
    <row r="613" customFormat="false" ht="15" hidden="false" customHeight="false" outlineLevel="0" collapsed="false">
      <c r="A613" s="24"/>
      <c r="B613" s="25"/>
      <c r="C613" s="25"/>
      <c r="D613" s="25"/>
      <c r="E613" s="6"/>
      <c r="F613" s="26" t="str">
        <f aca="false">IF(A613="","",MONTH(A613))</f>
        <v/>
      </c>
      <c r="G613" s="26" t="str">
        <f aca="false">IF(A613="","",YEAR(A613))</f>
        <v/>
      </c>
      <c r="H613" s="11" t="str">
        <f aca="false">IF(OR(C613="",B613&lt;&gt;"Pengeluaran"),"",IFERROR(INDEX(Dashboard!$B$18:$B$39,MATCH(C613,Dashboard!$A$18:$A$39,0)),""))</f>
        <v/>
      </c>
    </row>
    <row r="614" customFormat="false" ht="15" hidden="false" customHeight="false" outlineLevel="0" collapsed="false">
      <c r="A614" s="24"/>
      <c r="B614" s="25"/>
      <c r="C614" s="25"/>
      <c r="D614" s="25"/>
      <c r="E614" s="6"/>
      <c r="F614" s="26" t="str">
        <f aca="false">IF(A614="","",MONTH(A614))</f>
        <v/>
      </c>
      <c r="G614" s="26" t="str">
        <f aca="false">IF(A614="","",YEAR(A614))</f>
        <v/>
      </c>
      <c r="H614" s="11" t="str">
        <f aca="false">IF(OR(C614="",B614&lt;&gt;"Pengeluaran"),"",IFERROR(INDEX(Dashboard!$B$18:$B$39,MATCH(C614,Dashboard!$A$18:$A$39,0)),""))</f>
        <v/>
      </c>
    </row>
    <row r="615" customFormat="false" ht="15" hidden="false" customHeight="false" outlineLevel="0" collapsed="false">
      <c r="A615" s="24"/>
      <c r="B615" s="25"/>
      <c r="C615" s="25"/>
      <c r="D615" s="25"/>
      <c r="E615" s="6"/>
      <c r="F615" s="26" t="str">
        <f aca="false">IF(A615="","",MONTH(A615))</f>
        <v/>
      </c>
      <c r="G615" s="26" t="str">
        <f aca="false">IF(A615="","",YEAR(A615))</f>
        <v/>
      </c>
      <c r="H615" s="11" t="str">
        <f aca="false">IF(OR(C615="",B615&lt;&gt;"Pengeluaran"),"",IFERROR(INDEX(Dashboard!$B$18:$B$39,MATCH(C615,Dashboard!$A$18:$A$39,0)),""))</f>
        <v/>
      </c>
    </row>
    <row r="616" customFormat="false" ht="15" hidden="false" customHeight="false" outlineLevel="0" collapsed="false">
      <c r="A616" s="24"/>
      <c r="B616" s="25"/>
      <c r="C616" s="25"/>
      <c r="D616" s="25"/>
      <c r="E616" s="6"/>
      <c r="F616" s="26" t="str">
        <f aca="false">IF(A616="","",MONTH(A616))</f>
        <v/>
      </c>
      <c r="G616" s="26" t="str">
        <f aca="false">IF(A616="","",YEAR(A616))</f>
        <v/>
      </c>
      <c r="H616" s="11" t="str">
        <f aca="false">IF(OR(C616="",B616&lt;&gt;"Pengeluaran"),"",IFERROR(INDEX(Dashboard!$B$18:$B$39,MATCH(C616,Dashboard!$A$18:$A$39,0)),""))</f>
        <v/>
      </c>
    </row>
    <row r="617" customFormat="false" ht="15" hidden="false" customHeight="false" outlineLevel="0" collapsed="false">
      <c r="A617" s="24"/>
      <c r="B617" s="25"/>
      <c r="C617" s="25"/>
      <c r="D617" s="25"/>
      <c r="E617" s="6"/>
      <c r="F617" s="26" t="str">
        <f aca="false">IF(A617="","",MONTH(A617))</f>
        <v/>
      </c>
      <c r="G617" s="26" t="str">
        <f aca="false">IF(A617="","",YEAR(A617))</f>
        <v/>
      </c>
      <c r="H617" s="11" t="str">
        <f aca="false">IF(OR(C617="",B617&lt;&gt;"Pengeluaran"),"",IFERROR(INDEX(Dashboard!$B$18:$B$39,MATCH(C617,Dashboard!$A$18:$A$39,0)),""))</f>
        <v/>
      </c>
    </row>
    <row r="618" customFormat="false" ht="15" hidden="false" customHeight="false" outlineLevel="0" collapsed="false">
      <c r="A618" s="24"/>
      <c r="B618" s="25"/>
      <c r="C618" s="25"/>
      <c r="D618" s="25"/>
      <c r="E618" s="6"/>
      <c r="F618" s="26" t="str">
        <f aca="false">IF(A618="","",MONTH(A618))</f>
        <v/>
      </c>
      <c r="G618" s="26" t="str">
        <f aca="false">IF(A618="","",YEAR(A618))</f>
        <v/>
      </c>
      <c r="H618" s="11" t="str">
        <f aca="false">IF(OR(C618="",B618&lt;&gt;"Pengeluaran"),"",IFERROR(INDEX(Dashboard!$B$18:$B$39,MATCH(C618,Dashboard!$A$18:$A$39,0)),""))</f>
        <v/>
      </c>
    </row>
    <row r="619" customFormat="false" ht="15" hidden="false" customHeight="false" outlineLevel="0" collapsed="false">
      <c r="A619" s="24"/>
      <c r="B619" s="25"/>
      <c r="C619" s="25"/>
      <c r="D619" s="25"/>
      <c r="E619" s="6"/>
      <c r="F619" s="26" t="str">
        <f aca="false">IF(A619="","",MONTH(A619))</f>
        <v/>
      </c>
      <c r="G619" s="26" t="str">
        <f aca="false">IF(A619="","",YEAR(A619))</f>
        <v/>
      </c>
      <c r="H619" s="11" t="str">
        <f aca="false">IF(OR(C619="",B619&lt;&gt;"Pengeluaran"),"",IFERROR(INDEX(Dashboard!$B$18:$B$39,MATCH(C619,Dashboard!$A$18:$A$39,0)),""))</f>
        <v/>
      </c>
    </row>
    <row r="620" customFormat="false" ht="15" hidden="false" customHeight="false" outlineLevel="0" collapsed="false">
      <c r="A620" s="24"/>
      <c r="B620" s="25"/>
      <c r="C620" s="25"/>
      <c r="D620" s="25"/>
      <c r="E620" s="6"/>
      <c r="F620" s="26" t="str">
        <f aca="false">IF(A620="","",MONTH(A620))</f>
        <v/>
      </c>
      <c r="G620" s="26" t="str">
        <f aca="false">IF(A620="","",YEAR(A620))</f>
        <v/>
      </c>
      <c r="H620" s="11" t="str">
        <f aca="false">IF(OR(C620="",B620&lt;&gt;"Pengeluaran"),"",IFERROR(INDEX(Dashboard!$B$18:$B$39,MATCH(C620,Dashboard!$A$18:$A$39,0)),""))</f>
        <v/>
      </c>
    </row>
    <row r="621" customFormat="false" ht="15" hidden="false" customHeight="false" outlineLevel="0" collapsed="false">
      <c r="A621" s="24"/>
      <c r="B621" s="25"/>
      <c r="C621" s="25"/>
      <c r="D621" s="25"/>
      <c r="E621" s="6"/>
      <c r="F621" s="26" t="str">
        <f aca="false">IF(A621="","",MONTH(A621))</f>
        <v/>
      </c>
      <c r="G621" s="26" t="str">
        <f aca="false">IF(A621="","",YEAR(A621))</f>
        <v/>
      </c>
      <c r="H621" s="11" t="str">
        <f aca="false">IF(OR(C621="",B621&lt;&gt;"Pengeluaran"),"",IFERROR(INDEX(Dashboard!$B$18:$B$39,MATCH(C621,Dashboard!$A$18:$A$39,0)),""))</f>
        <v/>
      </c>
    </row>
    <row r="622" customFormat="false" ht="15" hidden="false" customHeight="false" outlineLevel="0" collapsed="false">
      <c r="A622" s="24"/>
      <c r="B622" s="25"/>
      <c r="C622" s="25"/>
      <c r="D622" s="25"/>
      <c r="E622" s="6"/>
      <c r="F622" s="26" t="str">
        <f aca="false">IF(A622="","",MONTH(A622))</f>
        <v/>
      </c>
      <c r="G622" s="26" t="str">
        <f aca="false">IF(A622="","",YEAR(A622))</f>
        <v/>
      </c>
      <c r="H622" s="11" t="str">
        <f aca="false">IF(OR(C622="",B622&lt;&gt;"Pengeluaran"),"",IFERROR(INDEX(Dashboard!$B$18:$B$39,MATCH(C622,Dashboard!$A$18:$A$39,0)),""))</f>
        <v/>
      </c>
    </row>
    <row r="623" customFormat="false" ht="15" hidden="false" customHeight="false" outlineLevel="0" collapsed="false">
      <c r="A623" s="24"/>
      <c r="B623" s="25"/>
      <c r="C623" s="25"/>
      <c r="D623" s="25"/>
      <c r="E623" s="6"/>
      <c r="F623" s="26" t="str">
        <f aca="false">IF(A623="","",MONTH(A623))</f>
        <v/>
      </c>
      <c r="G623" s="26" t="str">
        <f aca="false">IF(A623="","",YEAR(A623))</f>
        <v/>
      </c>
      <c r="H623" s="11" t="str">
        <f aca="false">IF(OR(C623="",B623&lt;&gt;"Pengeluaran"),"",IFERROR(INDEX(Dashboard!$B$18:$B$39,MATCH(C623,Dashboard!$A$18:$A$39,0)),""))</f>
        <v/>
      </c>
    </row>
    <row r="624" customFormat="false" ht="15" hidden="false" customHeight="false" outlineLevel="0" collapsed="false">
      <c r="A624" s="24"/>
      <c r="B624" s="25"/>
      <c r="C624" s="25"/>
      <c r="D624" s="25"/>
      <c r="E624" s="6"/>
      <c r="F624" s="26" t="str">
        <f aca="false">IF(A624="","",MONTH(A624))</f>
        <v/>
      </c>
      <c r="G624" s="26" t="str">
        <f aca="false">IF(A624="","",YEAR(A624))</f>
        <v/>
      </c>
      <c r="H624" s="11" t="str">
        <f aca="false">IF(OR(C624="",B624&lt;&gt;"Pengeluaran"),"",IFERROR(INDEX(Dashboard!$B$18:$B$39,MATCH(C624,Dashboard!$A$18:$A$39,0)),""))</f>
        <v/>
      </c>
    </row>
    <row r="625" customFormat="false" ht="15" hidden="false" customHeight="false" outlineLevel="0" collapsed="false">
      <c r="A625" s="24"/>
      <c r="B625" s="25"/>
      <c r="C625" s="25"/>
      <c r="D625" s="25"/>
      <c r="E625" s="6"/>
      <c r="F625" s="26" t="str">
        <f aca="false">IF(A625="","",MONTH(A625))</f>
        <v/>
      </c>
      <c r="G625" s="26" t="str">
        <f aca="false">IF(A625="","",YEAR(A625))</f>
        <v/>
      </c>
      <c r="H625" s="11" t="str">
        <f aca="false">IF(OR(C625="",B625&lt;&gt;"Pengeluaran"),"",IFERROR(INDEX(Dashboard!$B$18:$B$39,MATCH(C625,Dashboard!$A$18:$A$39,0)),""))</f>
        <v/>
      </c>
    </row>
    <row r="626" customFormat="false" ht="15" hidden="false" customHeight="false" outlineLevel="0" collapsed="false">
      <c r="A626" s="24"/>
      <c r="B626" s="25"/>
      <c r="C626" s="25"/>
      <c r="D626" s="25"/>
      <c r="E626" s="6"/>
      <c r="F626" s="26" t="str">
        <f aca="false">IF(A626="","",MONTH(A626))</f>
        <v/>
      </c>
      <c r="G626" s="26" t="str">
        <f aca="false">IF(A626="","",YEAR(A626))</f>
        <v/>
      </c>
      <c r="H626" s="11" t="str">
        <f aca="false">IF(OR(C626="",B626&lt;&gt;"Pengeluaran"),"",IFERROR(INDEX(Dashboard!$B$18:$B$39,MATCH(C626,Dashboard!$A$18:$A$39,0)),""))</f>
        <v/>
      </c>
    </row>
    <row r="627" customFormat="false" ht="15" hidden="false" customHeight="false" outlineLevel="0" collapsed="false">
      <c r="A627" s="24"/>
      <c r="B627" s="25"/>
      <c r="C627" s="25"/>
      <c r="D627" s="25"/>
      <c r="E627" s="6"/>
      <c r="F627" s="26" t="str">
        <f aca="false">IF(A627="","",MONTH(A627))</f>
        <v/>
      </c>
      <c r="G627" s="26" t="str">
        <f aca="false">IF(A627="","",YEAR(A627))</f>
        <v/>
      </c>
      <c r="H627" s="11" t="str">
        <f aca="false">IF(OR(C627="",B627&lt;&gt;"Pengeluaran"),"",IFERROR(INDEX(Dashboard!$B$18:$B$39,MATCH(C627,Dashboard!$A$18:$A$39,0)),""))</f>
        <v/>
      </c>
    </row>
    <row r="628" customFormat="false" ht="15" hidden="false" customHeight="false" outlineLevel="0" collapsed="false">
      <c r="A628" s="24"/>
      <c r="B628" s="25"/>
      <c r="C628" s="25"/>
      <c r="D628" s="25"/>
      <c r="E628" s="6"/>
      <c r="F628" s="26" t="str">
        <f aca="false">IF(A628="","",MONTH(A628))</f>
        <v/>
      </c>
      <c r="G628" s="26" t="str">
        <f aca="false">IF(A628="","",YEAR(A628))</f>
        <v/>
      </c>
      <c r="H628" s="11" t="str">
        <f aca="false">IF(OR(C628="",B628&lt;&gt;"Pengeluaran"),"",IFERROR(INDEX(Dashboard!$B$18:$B$39,MATCH(C628,Dashboard!$A$18:$A$39,0)),""))</f>
        <v/>
      </c>
    </row>
    <row r="629" customFormat="false" ht="15" hidden="false" customHeight="false" outlineLevel="0" collapsed="false">
      <c r="A629" s="24"/>
      <c r="B629" s="25"/>
      <c r="C629" s="25"/>
      <c r="D629" s="25"/>
      <c r="E629" s="6"/>
      <c r="F629" s="26" t="str">
        <f aca="false">IF(A629="","",MONTH(A629))</f>
        <v/>
      </c>
      <c r="G629" s="26" t="str">
        <f aca="false">IF(A629="","",YEAR(A629))</f>
        <v/>
      </c>
      <c r="H629" s="11" t="str">
        <f aca="false">IF(OR(C629="",B629&lt;&gt;"Pengeluaran"),"",IFERROR(INDEX(Dashboard!$B$18:$B$39,MATCH(C629,Dashboard!$A$18:$A$39,0)),""))</f>
        <v/>
      </c>
    </row>
    <row r="630" customFormat="false" ht="15" hidden="false" customHeight="false" outlineLevel="0" collapsed="false">
      <c r="A630" s="24"/>
      <c r="B630" s="25"/>
      <c r="C630" s="25"/>
      <c r="D630" s="25"/>
      <c r="E630" s="6"/>
      <c r="F630" s="26" t="str">
        <f aca="false">IF(A630="","",MONTH(A630))</f>
        <v/>
      </c>
      <c r="G630" s="26" t="str">
        <f aca="false">IF(A630="","",YEAR(A630))</f>
        <v/>
      </c>
      <c r="H630" s="11" t="str">
        <f aca="false">IF(OR(C630="",B630&lt;&gt;"Pengeluaran"),"",IFERROR(INDEX(Dashboard!$B$18:$B$39,MATCH(C630,Dashboard!$A$18:$A$39,0)),""))</f>
        <v/>
      </c>
    </row>
    <row r="631" customFormat="false" ht="15" hidden="false" customHeight="false" outlineLevel="0" collapsed="false">
      <c r="A631" s="24"/>
      <c r="B631" s="25"/>
      <c r="C631" s="25"/>
      <c r="D631" s="25"/>
      <c r="E631" s="6"/>
      <c r="F631" s="26" t="str">
        <f aca="false">IF(A631="","",MONTH(A631))</f>
        <v/>
      </c>
      <c r="G631" s="26" t="str">
        <f aca="false">IF(A631="","",YEAR(A631))</f>
        <v/>
      </c>
      <c r="H631" s="11" t="str">
        <f aca="false">IF(OR(C631="",B631&lt;&gt;"Pengeluaran"),"",IFERROR(INDEX(Dashboard!$B$18:$B$39,MATCH(C631,Dashboard!$A$18:$A$39,0)),""))</f>
        <v/>
      </c>
    </row>
    <row r="632" customFormat="false" ht="15" hidden="false" customHeight="false" outlineLevel="0" collapsed="false">
      <c r="A632" s="24"/>
      <c r="B632" s="25"/>
      <c r="C632" s="25"/>
      <c r="D632" s="25"/>
      <c r="E632" s="6"/>
      <c r="F632" s="26" t="str">
        <f aca="false">IF(A632="","",MONTH(A632))</f>
        <v/>
      </c>
      <c r="G632" s="26" t="str">
        <f aca="false">IF(A632="","",YEAR(A632))</f>
        <v/>
      </c>
      <c r="H632" s="11" t="str">
        <f aca="false">IF(OR(C632="",B632&lt;&gt;"Pengeluaran"),"",IFERROR(INDEX(Dashboard!$B$18:$B$39,MATCH(C632,Dashboard!$A$18:$A$39,0)),""))</f>
        <v/>
      </c>
    </row>
    <row r="633" customFormat="false" ht="15" hidden="false" customHeight="false" outlineLevel="0" collapsed="false">
      <c r="A633" s="24"/>
      <c r="B633" s="25"/>
      <c r="C633" s="25"/>
      <c r="D633" s="25"/>
      <c r="E633" s="6"/>
      <c r="F633" s="26" t="str">
        <f aca="false">IF(A633="","",MONTH(A633))</f>
        <v/>
      </c>
      <c r="G633" s="26" t="str">
        <f aca="false">IF(A633="","",YEAR(A633))</f>
        <v/>
      </c>
      <c r="H633" s="11" t="str">
        <f aca="false">IF(OR(C633="",B633&lt;&gt;"Pengeluaran"),"",IFERROR(INDEX(Dashboard!$B$18:$B$39,MATCH(C633,Dashboard!$A$18:$A$39,0)),""))</f>
        <v/>
      </c>
    </row>
    <row r="634" customFormat="false" ht="15" hidden="false" customHeight="false" outlineLevel="0" collapsed="false">
      <c r="A634" s="24"/>
      <c r="B634" s="25"/>
      <c r="C634" s="25"/>
      <c r="D634" s="25"/>
      <c r="E634" s="6"/>
      <c r="F634" s="26" t="str">
        <f aca="false">IF(A634="","",MONTH(A634))</f>
        <v/>
      </c>
      <c r="G634" s="26" t="str">
        <f aca="false">IF(A634="","",YEAR(A634))</f>
        <v/>
      </c>
      <c r="H634" s="11" t="str">
        <f aca="false">IF(OR(C634="",B634&lt;&gt;"Pengeluaran"),"",IFERROR(INDEX(Dashboard!$B$18:$B$39,MATCH(C634,Dashboard!$A$18:$A$39,0)),""))</f>
        <v/>
      </c>
    </row>
    <row r="635" customFormat="false" ht="15" hidden="false" customHeight="false" outlineLevel="0" collapsed="false">
      <c r="A635" s="24"/>
      <c r="B635" s="25"/>
      <c r="C635" s="25"/>
      <c r="D635" s="25"/>
      <c r="E635" s="6"/>
      <c r="F635" s="26" t="str">
        <f aca="false">IF(A635="","",MONTH(A635))</f>
        <v/>
      </c>
      <c r="G635" s="26" t="str">
        <f aca="false">IF(A635="","",YEAR(A635))</f>
        <v/>
      </c>
      <c r="H635" s="11" t="str">
        <f aca="false">IF(OR(C635="",B635&lt;&gt;"Pengeluaran"),"",IFERROR(INDEX(Dashboard!$B$18:$B$39,MATCH(C635,Dashboard!$A$18:$A$39,0)),""))</f>
        <v/>
      </c>
    </row>
    <row r="636" customFormat="false" ht="15" hidden="false" customHeight="false" outlineLevel="0" collapsed="false">
      <c r="A636" s="24"/>
      <c r="B636" s="25"/>
      <c r="C636" s="25"/>
      <c r="D636" s="25"/>
      <c r="E636" s="6"/>
      <c r="F636" s="26" t="str">
        <f aca="false">IF(A636="","",MONTH(A636))</f>
        <v/>
      </c>
      <c r="G636" s="26" t="str">
        <f aca="false">IF(A636="","",YEAR(A636))</f>
        <v/>
      </c>
      <c r="H636" s="11" t="str">
        <f aca="false">IF(OR(C636="",B636&lt;&gt;"Pengeluaran"),"",IFERROR(INDEX(Dashboard!$B$18:$B$39,MATCH(C636,Dashboard!$A$18:$A$39,0)),""))</f>
        <v/>
      </c>
    </row>
    <row r="637" customFormat="false" ht="15" hidden="false" customHeight="false" outlineLevel="0" collapsed="false">
      <c r="A637" s="24"/>
      <c r="B637" s="25"/>
      <c r="C637" s="25"/>
      <c r="D637" s="25"/>
      <c r="E637" s="6"/>
      <c r="F637" s="26" t="str">
        <f aca="false">IF(A637="","",MONTH(A637))</f>
        <v/>
      </c>
      <c r="G637" s="26" t="str">
        <f aca="false">IF(A637="","",YEAR(A637))</f>
        <v/>
      </c>
      <c r="H637" s="11" t="str">
        <f aca="false">IF(OR(C637="",B637&lt;&gt;"Pengeluaran"),"",IFERROR(INDEX(Dashboard!$B$18:$B$39,MATCH(C637,Dashboard!$A$18:$A$39,0)),""))</f>
        <v/>
      </c>
    </row>
    <row r="638" customFormat="false" ht="15" hidden="false" customHeight="false" outlineLevel="0" collapsed="false">
      <c r="A638" s="24"/>
      <c r="B638" s="25"/>
      <c r="C638" s="25"/>
      <c r="D638" s="25"/>
      <c r="E638" s="6"/>
      <c r="F638" s="26" t="str">
        <f aca="false">IF(A638="","",MONTH(A638))</f>
        <v/>
      </c>
      <c r="G638" s="26" t="str">
        <f aca="false">IF(A638="","",YEAR(A638))</f>
        <v/>
      </c>
      <c r="H638" s="11" t="str">
        <f aca="false">IF(OR(C638="",B638&lt;&gt;"Pengeluaran"),"",IFERROR(INDEX(Dashboard!$B$18:$B$39,MATCH(C638,Dashboard!$A$18:$A$39,0)),""))</f>
        <v/>
      </c>
    </row>
    <row r="639" customFormat="false" ht="15" hidden="false" customHeight="false" outlineLevel="0" collapsed="false">
      <c r="A639" s="24"/>
      <c r="B639" s="25"/>
      <c r="C639" s="25"/>
      <c r="D639" s="25"/>
      <c r="E639" s="6"/>
      <c r="F639" s="26" t="str">
        <f aca="false">IF(A639="","",MONTH(A639))</f>
        <v/>
      </c>
      <c r="G639" s="26" t="str">
        <f aca="false">IF(A639="","",YEAR(A639))</f>
        <v/>
      </c>
      <c r="H639" s="11" t="str">
        <f aca="false">IF(OR(C639="",B639&lt;&gt;"Pengeluaran"),"",IFERROR(INDEX(Dashboard!$B$18:$B$39,MATCH(C639,Dashboard!$A$18:$A$39,0)),""))</f>
        <v/>
      </c>
    </row>
    <row r="640" customFormat="false" ht="15" hidden="false" customHeight="false" outlineLevel="0" collapsed="false">
      <c r="A640" s="24"/>
      <c r="B640" s="25"/>
      <c r="C640" s="25"/>
      <c r="D640" s="25"/>
      <c r="E640" s="6"/>
      <c r="F640" s="26" t="str">
        <f aca="false">IF(A640="","",MONTH(A640))</f>
        <v/>
      </c>
      <c r="G640" s="26" t="str">
        <f aca="false">IF(A640="","",YEAR(A640))</f>
        <v/>
      </c>
      <c r="H640" s="11" t="str">
        <f aca="false">IF(OR(C640="",B640&lt;&gt;"Pengeluaran"),"",IFERROR(INDEX(Dashboard!$B$18:$B$39,MATCH(C640,Dashboard!$A$18:$A$39,0)),""))</f>
        <v/>
      </c>
    </row>
    <row r="641" customFormat="false" ht="15" hidden="false" customHeight="false" outlineLevel="0" collapsed="false">
      <c r="A641" s="24"/>
      <c r="B641" s="25"/>
      <c r="C641" s="25"/>
      <c r="D641" s="25"/>
      <c r="E641" s="6"/>
      <c r="F641" s="26" t="str">
        <f aca="false">IF(A641="","",MONTH(A641))</f>
        <v/>
      </c>
      <c r="G641" s="26" t="str">
        <f aca="false">IF(A641="","",YEAR(A641))</f>
        <v/>
      </c>
      <c r="H641" s="11" t="str">
        <f aca="false">IF(OR(C641="",B641&lt;&gt;"Pengeluaran"),"",IFERROR(INDEX(Dashboard!$B$18:$B$39,MATCH(C641,Dashboard!$A$18:$A$39,0)),""))</f>
        <v/>
      </c>
    </row>
    <row r="642" customFormat="false" ht="15" hidden="false" customHeight="false" outlineLevel="0" collapsed="false">
      <c r="A642" s="24"/>
      <c r="B642" s="25"/>
      <c r="C642" s="25"/>
      <c r="D642" s="25"/>
      <c r="E642" s="6"/>
      <c r="F642" s="26" t="str">
        <f aca="false">IF(A642="","",MONTH(A642))</f>
        <v/>
      </c>
      <c r="G642" s="26" t="str">
        <f aca="false">IF(A642="","",YEAR(A642))</f>
        <v/>
      </c>
      <c r="H642" s="11" t="str">
        <f aca="false">IF(OR(C642="",B642&lt;&gt;"Pengeluaran"),"",IFERROR(INDEX(Dashboard!$B$18:$B$39,MATCH(C642,Dashboard!$A$18:$A$39,0)),""))</f>
        <v/>
      </c>
    </row>
    <row r="643" customFormat="false" ht="15" hidden="false" customHeight="false" outlineLevel="0" collapsed="false">
      <c r="A643" s="24"/>
      <c r="B643" s="25"/>
      <c r="C643" s="25"/>
      <c r="D643" s="25"/>
      <c r="E643" s="6"/>
      <c r="F643" s="26" t="str">
        <f aca="false">IF(A643="","",MONTH(A643))</f>
        <v/>
      </c>
      <c r="G643" s="26" t="str">
        <f aca="false">IF(A643="","",YEAR(A643))</f>
        <v/>
      </c>
      <c r="H643" s="11" t="str">
        <f aca="false">IF(OR(C643="",B643&lt;&gt;"Pengeluaran"),"",IFERROR(INDEX(Dashboard!$B$18:$B$39,MATCH(C643,Dashboard!$A$18:$A$39,0)),""))</f>
        <v/>
      </c>
    </row>
    <row r="644" customFormat="false" ht="15" hidden="false" customHeight="false" outlineLevel="0" collapsed="false">
      <c r="A644" s="24"/>
      <c r="B644" s="25"/>
      <c r="C644" s="25"/>
      <c r="D644" s="25"/>
      <c r="E644" s="6"/>
      <c r="F644" s="26" t="str">
        <f aca="false">IF(A644="","",MONTH(A644))</f>
        <v/>
      </c>
      <c r="G644" s="26" t="str">
        <f aca="false">IF(A644="","",YEAR(A644))</f>
        <v/>
      </c>
      <c r="H644" s="11" t="str">
        <f aca="false">IF(OR(C644="",B644&lt;&gt;"Pengeluaran"),"",IFERROR(INDEX(Dashboard!$B$18:$B$39,MATCH(C644,Dashboard!$A$18:$A$39,0)),""))</f>
        <v/>
      </c>
    </row>
    <row r="645" customFormat="false" ht="15" hidden="false" customHeight="false" outlineLevel="0" collapsed="false">
      <c r="A645" s="24"/>
      <c r="B645" s="25"/>
      <c r="C645" s="25"/>
      <c r="D645" s="25"/>
      <c r="E645" s="6"/>
      <c r="F645" s="26" t="str">
        <f aca="false">IF(A645="","",MONTH(A645))</f>
        <v/>
      </c>
      <c r="G645" s="26" t="str">
        <f aca="false">IF(A645="","",YEAR(A645))</f>
        <v/>
      </c>
      <c r="H645" s="11" t="str">
        <f aca="false">IF(OR(C645="",B645&lt;&gt;"Pengeluaran"),"",IFERROR(INDEX(Dashboard!$B$18:$B$39,MATCH(C645,Dashboard!$A$18:$A$39,0)),""))</f>
        <v/>
      </c>
    </row>
    <row r="646" customFormat="false" ht="15" hidden="false" customHeight="false" outlineLevel="0" collapsed="false">
      <c r="A646" s="24"/>
      <c r="B646" s="25"/>
      <c r="C646" s="25"/>
      <c r="D646" s="25"/>
      <c r="E646" s="6"/>
      <c r="F646" s="26" t="str">
        <f aca="false">IF(A646="","",MONTH(A646))</f>
        <v/>
      </c>
      <c r="G646" s="26" t="str">
        <f aca="false">IF(A646="","",YEAR(A646))</f>
        <v/>
      </c>
      <c r="H646" s="11" t="str">
        <f aca="false">IF(OR(C646="",B646&lt;&gt;"Pengeluaran"),"",IFERROR(INDEX(Dashboard!$B$18:$B$39,MATCH(C646,Dashboard!$A$18:$A$39,0)),""))</f>
        <v/>
      </c>
    </row>
    <row r="647" customFormat="false" ht="15" hidden="false" customHeight="false" outlineLevel="0" collapsed="false">
      <c r="A647" s="24"/>
      <c r="B647" s="25"/>
      <c r="C647" s="25"/>
      <c r="D647" s="25"/>
      <c r="E647" s="6"/>
      <c r="F647" s="26" t="str">
        <f aca="false">IF(A647="","",MONTH(A647))</f>
        <v/>
      </c>
      <c r="G647" s="26" t="str">
        <f aca="false">IF(A647="","",YEAR(A647))</f>
        <v/>
      </c>
      <c r="H647" s="11" t="str">
        <f aca="false">IF(OR(C647="",B647&lt;&gt;"Pengeluaran"),"",IFERROR(INDEX(Dashboard!$B$18:$B$39,MATCH(C647,Dashboard!$A$18:$A$39,0)),""))</f>
        <v/>
      </c>
    </row>
    <row r="648" customFormat="false" ht="15" hidden="false" customHeight="false" outlineLevel="0" collapsed="false">
      <c r="A648" s="24"/>
      <c r="B648" s="25"/>
      <c r="C648" s="25"/>
      <c r="D648" s="25"/>
      <c r="E648" s="6"/>
      <c r="F648" s="26" t="str">
        <f aca="false">IF(A648="","",MONTH(A648))</f>
        <v/>
      </c>
      <c r="G648" s="26" t="str">
        <f aca="false">IF(A648="","",YEAR(A648))</f>
        <v/>
      </c>
      <c r="H648" s="11" t="str">
        <f aca="false">IF(OR(C648="",B648&lt;&gt;"Pengeluaran"),"",IFERROR(INDEX(Dashboard!$B$18:$B$39,MATCH(C648,Dashboard!$A$18:$A$39,0)),""))</f>
        <v/>
      </c>
    </row>
    <row r="649" customFormat="false" ht="15" hidden="false" customHeight="false" outlineLevel="0" collapsed="false">
      <c r="A649" s="24"/>
      <c r="B649" s="25"/>
      <c r="C649" s="25"/>
      <c r="D649" s="25"/>
      <c r="E649" s="6"/>
      <c r="F649" s="26" t="str">
        <f aca="false">IF(A649="","",MONTH(A649))</f>
        <v/>
      </c>
      <c r="G649" s="26" t="str">
        <f aca="false">IF(A649="","",YEAR(A649))</f>
        <v/>
      </c>
      <c r="H649" s="11" t="str">
        <f aca="false">IF(OR(C649="",B649&lt;&gt;"Pengeluaran"),"",IFERROR(INDEX(Dashboard!$B$18:$B$39,MATCH(C649,Dashboard!$A$18:$A$39,0)),""))</f>
        <v/>
      </c>
    </row>
    <row r="650" customFormat="false" ht="15" hidden="false" customHeight="false" outlineLevel="0" collapsed="false">
      <c r="A650" s="24"/>
      <c r="B650" s="25"/>
      <c r="C650" s="25"/>
      <c r="D650" s="25"/>
      <c r="E650" s="6"/>
      <c r="F650" s="26" t="str">
        <f aca="false">IF(A650="","",MONTH(A650))</f>
        <v/>
      </c>
      <c r="G650" s="26" t="str">
        <f aca="false">IF(A650="","",YEAR(A650))</f>
        <v/>
      </c>
      <c r="H650" s="11" t="str">
        <f aca="false">IF(OR(C650="",B650&lt;&gt;"Pengeluaran"),"",IFERROR(INDEX(Dashboard!$B$18:$B$39,MATCH(C650,Dashboard!$A$18:$A$39,0)),""))</f>
        <v/>
      </c>
    </row>
    <row r="651" customFormat="false" ht="15" hidden="false" customHeight="false" outlineLevel="0" collapsed="false">
      <c r="A651" s="24"/>
      <c r="B651" s="25"/>
      <c r="C651" s="25"/>
      <c r="D651" s="25"/>
      <c r="E651" s="6"/>
      <c r="F651" s="26" t="str">
        <f aca="false">IF(A651="","",MONTH(A651))</f>
        <v/>
      </c>
      <c r="G651" s="26" t="str">
        <f aca="false">IF(A651="","",YEAR(A651))</f>
        <v/>
      </c>
      <c r="H651" s="11" t="str">
        <f aca="false">IF(OR(C651="",B651&lt;&gt;"Pengeluaran"),"",IFERROR(INDEX(Dashboard!$B$18:$B$39,MATCH(C651,Dashboard!$A$18:$A$39,0)),""))</f>
        <v/>
      </c>
    </row>
    <row r="652" customFormat="false" ht="15" hidden="false" customHeight="false" outlineLevel="0" collapsed="false">
      <c r="A652" s="24"/>
      <c r="B652" s="25"/>
      <c r="C652" s="25"/>
      <c r="D652" s="25"/>
      <c r="E652" s="6"/>
      <c r="F652" s="26" t="str">
        <f aca="false">IF(A652="","",MONTH(A652))</f>
        <v/>
      </c>
      <c r="G652" s="26" t="str">
        <f aca="false">IF(A652="","",YEAR(A652))</f>
        <v/>
      </c>
      <c r="H652" s="11" t="str">
        <f aca="false">IF(OR(C652="",B652&lt;&gt;"Pengeluaran"),"",IFERROR(INDEX(Dashboard!$B$18:$B$39,MATCH(C652,Dashboard!$A$18:$A$39,0)),""))</f>
        <v/>
      </c>
    </row>
    <row r="653" customFormat="false" ht="15" hidden="false" customHeight="false" outlineLevel="0" collapsed="false">
      <c r="A653" s="24"/>
      <c r="B653" s="25"/>
      <c r="C653" s="25"/>
      <c r="D653" s="25"/>
      <c r="E653" s="6"/>
      <c r="F653" s="26" t="str">
        <f aca="false">IF(A653="","",MONTH(A653))</f>
        <v/>
      </c>
      <c r="G653" s="26" t="str">
        <f aca="false">IF(A653="","",YEAR(A653))</f>
        <v/>
      </c>
      <c r="H653" s="11" t="str">
        <f aca="false">IF(OR(C653="",B653&lt;&gt;"Pengeluaran"),"",IFERROR(INDEX(Dashboard!$B$18:$B$39,MATCH(C653,Dashboard!$A$18:$A$39,0)),""))</f>
        <v/>
      </c>
    </row>
    <row r="654" customFormat="false" ht="15" hidden="false" customHeight="false" outlineLevel="0" collapsed="false">
      <c r="A654" s="24"/>
      <c r="B654" s="25"/>
      <c r="C654" s="25"/>
      <c r="D654" s="25"/>
      <c r="E654" s="6"/>
      <c r="F654" s="26" t="str">
        <f aca="false">IF(A654="","",MONTH(A654))</f>
        <v/>
      </c>
      <c r="G654" s="26" t="str">
        <f aca="false">IF(A654="","",YEAR(A654))</f>
        <v/>
      </c>
      <c r="H654" s="11" t="str">
        <f aca="false">IF(OR(C654="",B654&lt;&gt;"Pengeluaran"),"",IFERROR(INDEX(Dashboard!$B$18:$B$39,MATCH(C654,Dashboard!$A$18:$A$39,0)),""))</f>
        <v/>
      </c>
    </row>
    <row r="655" customFormat="false" ht="15" hidden="false" customHeight="false" outlineLevel="0" collapsed="false">
      <c r="A655" s="24"/>
      <c r="B655" s="25"/>
      <c r="C655" s="25"/>
      <c r="D655" s="25"/>
      <c r="E655" s="6"/>
      <c r="F655" s="26" t="str">
        <f aca="false">IF(A655="","",MONTH(A655))</f>
        <v/>
      </c>
      <c r="G655" s="26" t="str">
        <f aca="false">IF(A655="","",YEAR(A655))</f>
        <v/>
      </c>
      <c r="H655" s="11" t="str">
        <f aca="false">IF(OR(C655="",B655&lt;&gt;"Pengeluaran"),"",IFERROR(INDEX(Dashboard!$B$18:$B$39,MATCH(C655,Dashboard!$A$18:$A$39,0)),""))</f>
        <v/>
      </c>
    </row>
    <row r="656" customFormat="false" ht="15" hidden="false" customHeight="false" outlineLevel="0" collapsed="false">
      <c r="A656" s="24"/>
      <c r="B656" s="25"/>
      <c r="C656" s="25"/>
      <c r="D656" s="25"/>
      <c r="E656" s="6"/>
      <c r="F656" s="26" t="str">
        <f aca="false">IF(A656="","",MONTH(A656))</f>
        <v/>
      </c>
      <c r="G656" s="26" t="str">
        <f aca="false">IF(A656="","",YEAR(A656))</f>
        <v/>
      </c>
      <c r="H656" s="11" t="str">
        <f aca="false">IF(OR(C656="",B656&lt;&gt;"Pengeluaran"),"",IFERROR(INDEX(Dashboard!$B$18:$B$39,MATCH(C656,Dashboard!$A$18:$A$39,0)),""))</f>
        <v/>
      </c>
    </row>
    <row r="657" customFormat="false" ht="15" hidden="false" customHeight="false" outlineLevel="0" collapsed="false">
      <c r="A657" s="24"/>
      <c r="B657" s="25"/>
      <c r="C657" s="25"/>
      <c r="D657" s="25"/>
      <c r="E657" s="6"/>
      <c r="F657" s="26" t="str">
        <f aca="false">IF(A657="","",MONTH(A657))</f>
        <v/>
      </c>
      <c r="G657" s="26" t="str">
        <f aca="false">IF(A657="","",YEAR(A657))</f>
        <v/>
      </c>
      <c r="H657" s="11" t="str">
        <f aca="false">IF(OR(C657="",B657&lt;&gt;"Pengeluaran"),"",IFERROR(INDEX(Dashboard!$B$18:$B$39,MATCH(C657,Dashboard!$A$18:$A$39,0)),""))</f>
        <v/>
      </c>
    </row>
    <row r="658" customFormat="false" ht="15" hidden="false" customHeight="false" outlineLevel="0" collapsed="false">
      <c r="A658" s="24"/>
      <c r="B658" s="25"/>
      <c r="C658" s="25"/>
      <c r="D658" s="25"/>
      <c r="E658" s="6"/>
      <c r="F658" s="26" t="str">
        <f aca="false">IF(A658="","",MONTH(A658))</f>
        <v/>
      </c>
      <c r="G658" s="26" t="str">
        <f aca="false">IF(A658="","",YEAR(A658))</f>
        <v/>
      </c>
      <c r="H658" s="11" t="str">
        <f aca="false">IF(OR(C658="",B658&lt;&gt;"Pengeluaran"),"",IFERROR(INDEX(Dashboard!$B$18:$B$39,MATCH(C658,Dashboard!$A$18:$A$39,0)),""))</f>
        <v/>
      </c>
    </row>
    <row r="659" customFormat="false" ht="15" hidden="false" customHeight="false" outlineLevel="0" collapsed="false">
      <c r="A659" s="24"/>
      <c r="B659" s="25"/>
      <c r="C659" s="25"/>
      <c r="D659" s="25"/>
      <c r="E659" s="6"/>
      <c r="F659" s="26" t="str">
        <f aca="false">IF(A659="","",MONTH(A659))</f>
        <v/>
      </c>
      <c r="G659" s="26" t="str">
        <f aca="false">IF(A659="","",YEAR(A659))</f>
        <v/>
      </c>
      <c r="H659" s="11" t="str">
        <f aca="false">IF(OR(C659="",B659&lt;&gt;"Pengeluaran"),"",IFERROR(INDEX(Dashboard!$B$18:$B$39,MATCH(C659,Dashboard!$A$18:$A$39,0)),""))</f>
        <v/>
      </c>
    </row>
    <row r="660" customFormat="false" ht="15" hidden="false" customHeight="false" outlineLevel="0" collapsed="false">
      <c r="A660" s="24"/>
      <c r="B660" s="25"/>
      <c r="C660" s="25"/>
      <c r="D660" s="25"/>
      <c r="E660" s="6"/>
      <c r="F660" s="26" t="str">
        <f aca="false">IF(A660="","",MONTH(A660))</f>
        <v/>
      </c>
      <c r="G660" s="26" t="str">
        <f aca="false">IF(A660="","",YEAR(A660))</f>
        <v/>
      </c>
      <c r="H660" s="11" t="str">
        <f aca="false">IF(OR(C660="",B660&lt;&gt;"Pengeluaran"),"",IFERROR(INDEX(Dashboard!$B$18:$B$39,MATCH(C660,Dashboard!$A$18:$A$39,0)),""))</f>
        <v/>
      </c>
    </row>
    <row r="661" customFormat="false" ht="15" hidden="false" customHeight="false" outlineLevel="0" collapsed="false">
      <c r="A661" s="24"/>
      <c r="B661" s="25"/>
      <c r="C661" s="25"/>
      <c r="D661" s="25"/>
      <c r="E661" s="6"/>
      <c r="F661" s="26" t="str">
        <f aca="false">IF(A661="","",MONTH(A661))</f>
        <v/>
      </c>
      <c r="G661" s="26" t="str">
        <f aca="false">IF(A661="","",YEAR(A661))</f>
        <v/>
      </c>
      <c r="H661" s="11" t="str">
        <f aca="false">IF(OR(C661="",B661&lt;&gt;"Pengeluaran"),"",IFERROR(INDEX(Dashboard!$B$18:$B$39,MATCH(C661,Dashboard!$A$18:$A$39,0)),""))</f>
        <v/>
      </c>
    </row>
    <row r="662" customFormat="false" ht="15" hidden="false" customHeight="false" outlineLevel="0" collapsed="false">
      <c r="A662" s="24"/>
      <c r="B662" s="25"/>
      <c r="C662" s="25"/>
      <c r="D662" s="25"/>
      <c r="E662" s="6"/>
      <c r="F662" s="26" t="str">
        <f aca="false">IF(A662="","",MONTH(A662))</f>
        <v/>
      </c>
      <c r="G662" s="26" t="str">
        <f aca="false">IF(A662="","",YEAR(A662))</f>
        <v/>
      </c>
      <c r="H662" s="11" t="str">
        <f aca="false">IF(OR(C662="",B662&lt;&gt;"Pengeluaran"),"",IFERROR(INDEX(Dashboard!$B$18:$B$39,MATCH(C662,Dashboard!$A$18:$A$39,0)),""))</f>
        <v/>
      </c>
    </row>
    <row r="663" customFormat="false" ht="15" hidden="false" customHeight="false" outlineLevel="0" collapsed="false">
      <c r="A663" s="24"/>
      <c r="B663" s="25"/>
      <c r="C663" s="25"/>
      <c r="D663" s="25"/>
      <c r="E663" s="6"/>
      <c r="F663" s="26" t="str">
        <f aca="false">IF(A663="","",MONTH(A663))</f>
        <v/>
      </c>
      <c r="G663" s="26" t="str">
        <f aca="false">IF(A663="","",YEAR(A663))</f>
        <v/>
      </c>
      <c r="H663" s="11" t="str">
        <f aca="false">IF(OR(C663="",B663&lt;&gt;"Pengeluaran"),"",IFERROR(INDEX(Dashboard!$B$18:$B$39,MATCH(C663,Dashboard!$A$18:$A$39,0)),""))</f>
        <v/>
      </c>
    </row>
    <row r="664" customFormat="false" ht="15" hidden="false" customHeight="false" outlineLevel="0" collapsed="false">
      <c r="A664" s="24"/>
      <c r="B664" s="25"/>
      <c r="C664" s="25"/>
      <c r="D664" s="25"/>
      <c r="E664" s="6"/>
      <c r="F664" s="26" t="str">
        <f aca="false">IF(A664="","",MONTH(A664))</f>
        <v/>
      </c>
      <c r="G664" s="26" t="str">
        <f aca="false">IF(A664="","",YEAR(A664))</f>
        <v/>
      </c>
      <c r="H664" s="11" t="str">
        <f aca="false">IF(OR(C664="",B664&lt;&gt;"Pengeluaran"),"",IFERROR(INDEX(Dashboard!$B$18:$B$39,MATCH(C664,Dashboard!$A$18:$A$39,0)),""))</f>
        <v/>
      </c>
    </row>
    <row r="665" customFormat="false" ht="15" hidden="false" customHeight="false" outlineLevel="0" collapsed="false">
      <c r="A665" s="24"/>
      <c r="B665" s="25"/>
      <c r="C665" s="25"/>
      <c r="D665" s="25"/>
      <c r="E665" s="6"/>
      <c r="F665" s="26" t="str">
        <f aca="false">IF(A665="","",MONTH(A665))</f>
        <v/>
      </c>
      <c r="G665" s="26" t="str">
        <f aca="false">IF(A665="","",YEAR(A665))</f>
        <v/>
      </c>
      <c r="H665" s="11" t="str">
        <f aca="false">IF(OR(C665="",B665&lt;&gt;"Pengeluaran"),"",IFERROR(INDEX(Dashboard!$B$18:$B$39,MATCH(C665,Dashboard!$A$18:$A$39,0)),""))</f>
        <v/>
      </c>
    </row>
    <row r="666" customFormat="false" ht="15" hidden="false" customHeight="false" outlineLevel="0" collapsed="false">
      <c r="A666" s="24"/>
      <c r="B666" s="25"/>
      <c r="C666" s="25"/>
      <c r="D666" s="25"/>
      <c r="E666" s="6"/>
      <c r="F666" s="26" t="str">
        <f aca="false">IF(A666="","",MONTH(A666))</f>
        <v/>
      </c>
      <c r="G666" s="26" t="str">
        <f aca="false">IF(A666="","",YEAR(A666))</f>
        <v/>
      </c>
      <c r="H666" s="11" t="str">
        <f aca="false">IF(OR(C666="",B666&lt;&gt;"Pengeluaran"),"",IFERROR(INDEX(Dashboard!$B$18:$B$39,MATCH(C666,Dashboard!$A$18:$A$39,0)),""))</f>
        <v/>
      </c>
    </row>
    <row r="667" customFormat="false" ht="15" hidden="false" customHeight="false" outlineLevel="0" collapsed="false">
      <c r="A667" s="24"/>
      <c r="B667" s="25"/>
      <c r="C667" s="25"/>
      <c r="D667" s="25"/>
      <c r="E667" s="6"/>
      <c r="F667" s="26" t="str">
        <f aca="false">IF(A667="","",MONTH(A667))</f>
        <v/>
      </c>
      <c r="G667" s="26" t="str">
        <f aca="false">IF(A667="","",YEAR(A667))</f>
        <v/>
      </c>
      <c r="H667" s="11" t="str">
        <f aca="false">IF(OR(C667="",B667&lt;&gt;"Pengeluaran"),"",IFERROR(INDEX(Dashboard!$B$18:$B$39,MATCH(C667,Dashboard!$A$18:$A$39,0)),""))</f>
        <v/>
      </c>
    </row>
    <row r="668" customFormat="false" ht="15" hidden="false" customHeight="false" outlineLevel="0" collapsed="false">
      <c r="A668" s="24"/>
      <c r="B668" s="25"/>
      <c r="C668" s="25"/>
      <c r="D668" s="25"/>
      <c r="E668" s="6"/>
      <c r="F668" s="26" t="str">
        <f aca="false">IF(A668="","",MONTH(A668))</f>
        <v/>
      </c>
      <c r="G668" s="26" t="str">
        <f aca="false">IF(A668="","",YEAR(A668))</f>
        <v/>
      </c>
      <c r="H668" s="11" t="str">
        <f aca="false">IF(OR(C668="",B668&lt;&gt;"Pengeluaran"),"",IFERROR(INDEX(Dashboard!$B$18:$B$39,MATCH(C668,Dashboard!$A$18:$A$39,0)),""))</f>
        <v/>
      </c>
    </row>
    <row r="669" customFormat="false" ht="15" hidden="false" customHeight="false" outlineLevel="0" collapsed="false">
      <c r="A669" s="24"/>
      <c r="B669" s="25"/>
      <c r="C669" s="25"/>
      <c r="D669" s="25"/>
      <c r="E669" s="6"/>
      <c r="F669" s="26" t="str">
        <f aca="false">IF(A669="","",MONTH(A669))</f>
        <v/>
      </c>
      <c r="G669" s="26" t="str">
        <f aca="false">IF(A669="","",YEAR(A669))</f>
        <v/>
      </c>
      <c r="H669" s="11" t="str">
        <f aca="false">IF(OR(C669="",B669&lt;&gt;"Pengeluaran"),"",IFERROR(INDEX(Dashboard!$B$18:$B$39,MATCH(C669,Dashboard!$A$18:$A$39,0)),""))</f>
        <v/>
      </c>
    </row>
    <row r="670" customFormat="false" ht="15" hidden="false" customHeight="false" outlineLevel="0" collapsed="false">
      <c r="A670" s="24"/>
      <c r="B670" s="25"/>
      <c r="C670" s="25"/>
      <c r="D670" s="25"/>
      <c r="E670" s="6"/>
      <c r="F670" s="26" t="str">
        <f aca="false">IF(A670="","",MONTH(A670))</f>
        <v/>
      </c>
      <c r="G670" s="26" t="str">
        <f aca="false">IF(A670="","",YEAR(A670))</f>
        <v/>
      </c>
      <c r="H670" s="11" t="str">
        <f aca="false">IF(OR(C670="",B670&lt;&gt;"Pengeluaran"),"",IFERROR(INDEX(Dashboard!$B$18:$B$39,MATCH(C670,Dashboard!$A$18:$A$39,0)),""))</f>
        <v/>
      </c>
    </row>
    <row r="671" customFormat="false" ht="15" hidden="false" customHeight="false" outlineLevel="0" collapsed="false">
      <c r="A671" s="24"/>
      <c r="B671" s="25"/>
      <c r="C671" s="25"/>
      <c r="D671" s="25"/>
      <c r="E671" s="6"/>
      <c r="F671" s="26" t="str">
        <f aca="false">IF(A671="","",MONTH(A671))</f>
        <v/>
      </c>
      <c r="G671" s="26" t="str">
        <f aca="false">IF(A671="","",YEAR(A671))</f>
        <v/>
      </c>
      <c r="H671" s="11" t="str">
        <f aca="false">IF(OR(C671="",B671&lt;&gt;"Pengeluaran"),"",IFERROR(INDEX(Dashboard!$B$18:$B$39,MATCH(C671,Dashboard!$A$18:$A$39,0)),""))</f>
        <v/>
      </c>
    </row>
    <row r="672" customFormat="false" ht="15" hidden="false" customHeight="false" outlineLevel="0" collapsed="false">
      <c r="A672" s="24"/>
      <c r="B672" s="25"/>
      <c r="C672" s="25"/>
      <c r="D672" s="25"/>
      <c r="E672" s="6"/>
      <c r="F672" s="26" t="str">
        <f aca="false">IF(A672="","",MONTH(A672))</f>
        <v/>
      </c>
      <c r="G672" s="26" t="str">
        <f aca="false">IF(A672="","",YEAR(A672))</f>
        <v/>
      </c>
      <c r="H672" s="11" t="str">
        <f aca="false">IF(OR(C672="",B672&lt;&gt;"Pengeluaran"),"",IFERROR(INDEX(Dashboard!$B$18:$B$39,MATCH(C672,Dashboard!$A$18:$A$39,0)),""))</f>
        <v/>
      </c>
    </row>
    <row r="673" customFormat="false" ht="15" hidden="false" customHeight="false" outlineLevel="0" collapsed="false">
      <c r="A673" s="24"/>
      <c r="B673" s="25"/>
      <c r="C673" s="25"/>
      <c r="D673" s="25"/>
      <c r="E673" s="6"/>
      <c r="F673" s="26" t="str">
        <f aca="false">IF(A673="","",MONTH(A673))</f>
        <v/>
      </c>
      <c r="G673" s="26" t="str">
        <f aca="false">IF(A673="","",YEAR(A673))</f>
        <v/>
      </c>
      <c r="H673" s="11" t="str">
        <f aca="false">IF(OR(C673="",B673&lt;&gt;"Pengeluaran"),"",IFERROR(INDEX(Dashboard!$B$18:$B$39,MATCH(C673,Dashboard!$A$18:$A$39,0)),""))</f>
        <v/>
      </c>
    </row>
    <row r="674" customFormat="false" ht="15" hidden="false" customHeight="false" outlineLevel="0" collapsed="false">
      <c r="A674" s="24"/>
      <c r="B674" s="25"/>
      <c r="C674" s="25"/>
      <c r="D674" s="25"/>
      <c r="E674" s="6"/>
      <c r="F674" s="26" t="str">
        <f aca="false">IF(A674="","",MONTH(A674))</f>
        <v/>
      </c>
      <c r="G674" s="26" t="str">
        <f aca="false">IF(A674="","",YEAR(A674))</f>
        <v/>
      </c>
      <c r="H674" s="11" t="str">
        <f aca="false">IF(OR(C674="",B674&lt;&gt;"Pengeluaran"),"",IFERROR(INDEX(Dashboard!$B$18:$B$39,MATCH(C674,Dashboard!$A$18:$A$39,0)),""))</f>
        <v/>
      </c>
    </row>
    <row r="675" customFormat="false" ht="15" hidden="false" customHeight="false" outlineLevel="0" collapsed="false">
      <c r="A675" s="24"/>
      <c r="B675" s="25"/>
      <c r="C675" s="25"/>
      <c r="D675" s="25"/>
      <c r="E675" s="6"/>
      <c r="F675" s="26" t="str">
        <f aca="false">IF(A675="","",MONTH(A675))</f>
        <v/>
      </c>
      <c r="G675" s="26" t="str">
        <f aca="false">IF(A675="","",YEAR(A675))</f>
        <v/>
      </c>
      <c r="H675" s="11" t="str">
        <f aca="false">IF(OR(C675="",B675&lt;&gt;"Pengeluaran"),"",IFERROR(INDEX(Dashboard!$B$18:$B$39,MATCH(C675,Dashboard!$A$18:$A$39,0)),""))</f>
        <v/>
      </c>
    </row>
    <row r="676" customFormat="false" ht="15" hidden="false" customHeight="false" outlineLevel="0" collapsed="false">
      <c r="A676" s="24"/>
      <c r="B676" s="25"/>
      <c r="C676" s="25"/>
      <c r="D676" s="25"/>
      <c r="E676" s="6"/>
      <c r="F676" s="26" t="str">
        <f aca="false">IF(A676="","",MONTH(A676))</f>
        <v/>
      </c>
      <c r="G676" s="26" t="str">
        <f aca="false">IF(A676="","",YEAR(A676))</f>
        <v/>
      </c>
      <c r="H676" s="11" t="str">
        <f aca="false">IF(OR(C676="",B676&lt;&gt;"Pengeluaran"),"",IFERROR(INDEX(Dashboard!$B$18:$B$39,MATCH(C676,Dashboard!$A$18:$A$39,0)),""))</f>
        <v/>
      </c>
    </row>
    <row r="677" customFormat="false" ht="15" hidden="false" customHeight="false" outlineLevel="0" collapsed="false">
      <c r="A677" s="24"/>
      <c r="B677" s="25"/>
      <c r="C677" s="25"/>
      <c r="D677" s="25"/>
      <c r="E677" s="6"/>
      <c r="F677" s="26" t="str">
        <f aca="false">IF(A677="","",MONTH(A677))</f>
        <v/>
      </c>
      <c r="G677" s="26" t="str">
        <f aca="false">IF(A677="","",YEAR(A677))</f>
        <v/>
      </c>
      <c r="H677" s="11" t="str">
        <f aca="false">IF(OR(C677="",B677&lt;&gt;"Pengeluaran"),"",IFERROR(INDEX(Dashboard!$B$18:$B$39,MATCH(C677,Dashboard!$A$18:$A$39,0)),""))</f>
        <v/>
      </c>
    </row>
    <row r="678" customFormat="false" ht="15" hidden="false" customHeight="false" outlineLevel="0" collapsed="false">
      <c r="A678" s="24"/>
      <c r="B678" s="25"/>
      <c r="C678" s="25"/>
      <c r="D678" s="25"/>
      <c r="E678" s="6"/>
      <c r="F678" s="26" t="str">
        <f aca="false">IF(A678="","",MONTH(A678))</f>
        <v/>
      </c>
      <c r="G678" s="26" t="str">
        <f aca="false">IF(A678="","",YEAR(A678))</f>
        <v/>
      </c>
      <c r="H678" s="11" t="str">
        <f aca="false">IF(OR(C678="",B678&lt;&gt;"Pengeluaran"),"",IFERROR(INDEX(Dashboard!$B$18:$B$39,MATCH(C678,Dashboard!$A$18:$A$39,0)),""))</f>
        <v/>
      </c>
    </row>
    <row r="679" customFormat="false" ht="15" hidden="false" customHeight="false" outlineLevel="0" collapsed="false">
      <c r="A679" s="24"/>
      <c r="B679" s="25"/>
      <c r="C679" s="25"/>
      <c r="D679" s="25"/>
      <c r="E679" s="6"/>
      <c r="F679" s="26" t="str">
        <f aca="false">IF(A679="","",MONTH(A679))</f>
        <v/>
      </c>
      <c r="G679" s="26" t="str">
        <f aca="false">IF(A679="","",YEAR(A679))</f>
        <v/>
      </c>
      <c r="H679" s="11" t="str">
        <f aca="false">IF(OR(C679="",B679&lt;&gt;"Pengeluaran"),"",IFERROR(INDEX(Dashboard!$B$18:$B$39,MATCH(C679,Dashboard!$A$18:$A$39,0)),""))</f>
        <v/>
      </c>
    </row>
    <row r="680" customFormat="false" ht="15" hidden="false" customHeight="false" outlineLevel="0" collapsed="false">
      <c r="A680" s="24"/>
      <c r="B680" s="25"/>
      <c r="C680" s="25"/>
      <c r="D680" s="25"/>
      <c r="E680" s="6"/>
      <c r="F680" s="26" t="str">
        <f aca="false">IF(A680="","",MONTH(A680))</f>
        <v/>
      </c>
      <c r="G680" s="26" t="str">
        <f aca="false">IF(A680="","",YEAR(A680))</f>
        <v/>
      </c>
      <c r="H680" s="11" t="str">
        <f aca="false">IF(OR(C680="",B680&lt;&gt;"Pengeluaran"),"",IFERROR(INDEX(Dashboard!$B$18:$B$39,MATCH(C680,Dashboard!$A$18:$A$39,0)),""))</f>
        <v/>
      </c>
    </row>
    <row r="681" customFormat="false" ht="15" hidden="false" customHeight="false" outlineLevel="0" collapsed="false">
      <c r="A681" s="24"/>
      <c r="B681" s="25"/>
      <c r="C681" s="25"/>
      <c r="D681" s="25"/>
      <c r="E681" s="6"/>
      <c r="F681" s="26" t="str">
        <f aca="false">IF(A681="","",MONTH(A681))</f>
        <v/>
      </c>
      <c r="G681" s="26" t="str">
        <f aca="false">IF(A681="","",YEAR(A681))</f>
        <v/>
      </c>
      <c r="H681" s="11" t="str">
        <f aca="false">IF(OR(C681="",B681&lt;&gt;"Pengeluaran"),"",IFERROR(INDEX(Dashboard!$B$18:$B$39,MATCH(C681,Dashboard!$A$18:$A$39,0)),""))</f>
        <v/>
      </c>
    </row>
    <row r="682" customFormat="false" ht="15" hidden="false" customHeight="false" outlineLevel="0" collapsed="false">
      <c r="A682" s="24"/>
      <c r="B682" s="25"/>
      <c r="C682" s="25"/>
      <c r="D682" s="25"/>
      <c r="E682" s="6"/>
      <c r="F682" s="26" t="str">
        <f aca="false">IF(A682="","",MONTH(A682))</f>
        <v/>
      </c>
      <c r="G682" s="26" t="str">
        <f aca="false">IF(A682="","",YEAR(A682))</f>
        <v/>
      </c>
      <c r="H682" s="11" t="str">
        <f aca="false">IF(OR(C682="",B682&lt;&gt;"Pengeluaran"),"",IFERROR(INDEX(Dashboard!$B$18:$B$39,MATCH(C682,Dashboard!$A$18:$A$39,0)),""))</f>
        <v/>
      </c>
    </row>
    <row r="683" customFormat="false" ht="15" hidden="false" customHeight="false" outlineLevel="0" collapsed="false">
      <c r="A683" s="24"/>
      <c r="B683" s="25"/>
      <c r="C683" s="25"/>
      <c r="D683" s="25"/>
      <c r="E683" s="6"/>
      <c r="F683" s="26" t="str">
        <f aca="false">IF(A683="","",MONTH(A683))</f>
        <v/>
      </c>
      <c r="G683" s="26" t="str">
        <f aca="false">IF(A683="","",YEAR(A683))</f>
        <v/>
      </c>
      <c r="H683" s="11" t="str">
        <f aca="false">IF(OR(C683="",B683&lt;&gt;"Pengeluaran"),"",IFERROR(INDEX(Dashboard!$B$18:$B$39,MATCH(C683,Dashboard!$A$18:$A$39,0)),""))</f>
        <v/>
      </c>
    </row>
    <row r="684" customFormat="false" ht="15" hidden="false" customHeight="false" outlineLevel="0" collapsed="false">
      <c r="A684" s="24"/>
      <c r="B684" s="25"/>
      <c r="C684" s="25"/>
      <c r="D684" s="25"/>
      <c r="E684" s="6"/>
      <c r="F684" s="26" t="str">
        <f aca="false">IF(A684="","",MONTH(A684))</f>
        <v/>
      </c>
      <c r="G684" s="26" t="str">
        <f aca="false">IF(A684="","",YEAR(A684))</f>
        <v/>
      </c>
      <c r="H684" s="11" t="str">
        <f aca="false">IF(OR(C684="",B684&lt;&gt;"Pengeluaran"),"",IFERROR(INDEX(Dashboard!$B$18:$B$39,MATCH(C684,Dashboard!$A$18:$A$39,0)),""))</f>
        <v/>
      </c>
    </row>
    <row r="685" customFormat="false" ht="15" hidden="false" customHeight="false" outlineLevel="0" collapsed="false">
      <c r="A685" s="24"/>
      <c r="B685" s="25"/>
      <c r="C685" s="25"/>
      <c r="D685" s="25"/>
      <c r="E685" s="6"/>
      <c r="F685" s="26" t="str">
        <f aca="false">IF(A685="","",MONTH(A685))</f>
        <v/>
      </c>
      <c r="G685" s="26" t="str">
        <f aca="false">IF(A685="","",YEAR(A685))</f>
        <v/>
      </c>
      <c r="H685" s="11" t="str">
        <f aca="false">IF(OR(C685="",B685&lt;&gt;"Pengeluaran"),"",IFERROR(INDEX(Dashboard!$B$18:$B$39,MATCH(C685,Dashboard!$A$18:$A$39,0)),""))</f>
        <v/>
      </c>
    </row>
    <row r="686" customFormat="false" ht="15" hidden="false" customHeight="false" outlineLevel="0" collapsed="false">
      <c r="A686" s="24"/>
      <c r="B686" s="25"/>
      <c r="C686" s="25"/>
      <c r="D686" s="25"/>
      <c r="E686" s="6"/>
      <c r="F686" s="26" t="str">
        <f aca="false">IF(A686="","",MONTH(A686))</f>
        <v/>
      </c>
      <c r="G686" s="26" t="str">
        <f aca="false">IF(A686="","",YEAR(A686))</f>
        <v/>
      </c>
      <c r="H686" s="11" t="str">
        <f aca="false">IF(OR(C686="",B686&lt;&gt;"Pengeluaran"),"",IFERROR(INDEX(Dashboard!$B$18:$B$39,MATCH(C686,Dashboard!$A$18:$A$39,0)),""))</f>
        <v/>
      </c>
    </row>
    <row r="687" customFormat="false" ht="15" hidden="false" customHeight="false" outlineLevel="0" collapsed="false">
      <c r="A687" s="24"/>
      <c r="B687" s="25"/>
      <c r="C687" s="25"/>
      <c r="D687" s="25"/>
      <c r="E687" s="6"/>
      <c r="F687" s="26" t="str">
        <f aca="false">IF(A687="","",MONTH(A687))</f>
        <v/>
      </c>
      <c r="G687" s="26" t="str">
        <f aca="false">IF(A687="","",YEAR(A687))</f>
        <v/>
      </c>
      <c r="H687" s="11" t="str">
        <f aca="false">IF(OR(C687="",B687&lt;&gt;"Pengeluaran"),"",IFERROR(INDEX(Dashboard!$B$18:$B$39,MATCH(C687,Dashboard!$A$18:$A$39,0)),""))</f>
        <v/>
      </c>
    </row>
    <row r="688" customFormat="false" ht="15" hidden="false" customHeight="false" outlineLevel="0" collapsed="false">
      <c r="A688" s="24"/>
      <c r="B688" s="25"/>
      <c r="C688" s="25"/>
      <c r="D688" s="25"/>
      <c r="E688" s="6"/>
      <c r="F688" s="26" t="str">
        <f aca="false">IF(A688="","",MONTH(A688))</f>
        <v/>
      </c>
      <c r="G688" s="26" t="str">
        <f aca="false">IF(A688="","",YEAR(A688))</f>
        <v/>
      </c>
      <c r="H688" s="11" t="str">
        <f aca="false">IF(OR(C688="",B688&lt;&gt;"Pengeluaran"),"",IFERROR(INDEX(Dashboard!$B$18:$B$39,MATCH(C688,Dashboard!$A$18:$A$39,0)),""))</f>
        <v/>
      </c>
    </row>
    <row r="689" customFormat="false" ht="15" hidden="false" customHeight="false" outlineLevel="0" collapsed="false">
      <c r="A689" s="24"/>
      <c r="B689" s="25"/>
      <c r="C689" s="25"/>
      <c r="D689" s="25"/>
      <c r="E689" s="6"/>
      <c r="F689" s="26" t="str">
        <f aca="false">IF(A689="","",MONTH(A689))</f>
        <v/>
      </c>
      <c r="G689" s="26" t="str">
        <f aca="false">IF(A689="","",YEAR(A689))</f>
        <v/>
      </c>
      <c r="H689" s="11" t="str">
        <f aca="false">IF(OR(C689="",B689&lt;&gt;"Pengeluaran"),"",IFERROR(INDEX(Dashboard!$B$18:$B$39,MATCH(C689,Dashboard!$A$18:$A$39,0)),""))</f>
        <v/>
      </c>
    </row>
    <row r="690" customFormat="false" ht="15" hidden="false" customHeight="false" outlineLevel="0" collapsed="false">
      <c r="A690" s="24"/>
      <c r="B690" s="25"/>
      <c r="C690" s="25"/>
      <c r="D690" s="25"/>
      <c r="E690" s="6"/>
      <c r="F690" s="26" t="str">
        <f aca="false">IF(A690="","",MONTH(A690))</f>
        <v/>
      </c>
      <c r="G690" s="26" t="str">
        <f aca="false">IF(A690="","",YEAR(A690))</f>
        <v/>
      </c>
      <c r="H690" s="11" t="str">
        <f aca="false">IF(OR(C690="",B690&lt;&gt;"Pengeluaran"),"",IFERROR(INDEX(Dashboard!$B$18:$B$39,MATCH(C690,Dashboard!$A$18:$A$39,0)),""))</f>
        <v/>
      </c>
    </row>
    <row r="691" customFormat="false" ht="15" hidden="false" customHeight="false" outlineLevel="0" collapsed="false">
      <c r="A691" s="24"/>
      <c r="B691" s="25"/>
      <c r="C691" s="25"/>
      <c r="D691" s="25"/>
      <c r="E691" s="6"/>
      <c r="F691" s="26" t="str">
        <f aca="false">IF(A691="","",MONTH(A691))</f>
        <v/>
      </c>
      <c r="G691" s="26" t="str">
        <f aca="false">IF(A691="","",YEAR(A691))</f>
        <v/>
      </c>
      <c r="H691" s="11" t="str">
        <f aca="false">IF(OR(C691="",B691&lt;&gt;"Pengeluaran"),"",IFERROR(INDEX(Dashboard!$B$18:$B$39,MATCH(C691,Dashboard!$A$18:$A$39,0)),""))</f>
        <v/>
      </c>
    </row>
    <row r="692" customFormat="false" ht="15" hidden="false" customHeight="false" outlineLevel="0" collapsed="false">
      <c r="A692" s="24"/>
      <c r="B692" s="25"/>
      <c r="C692" s="25"/>
      <c r="D692" s="25"/>
      <c r="E692" s="6"/>
      <c r="F692" s="26" t="str">
        <f aca="false">IF(A692="","",MONTH(A692))</f>
        <v/>
      </c>
      <c r="G692" s="26" t="str">
        <f aca="false">IF(A692="","",YEAR(A692))</f>
        <v/>
      </c>
      <c r="H692" s="11" t="str">
        <f aca="false">IF(OR(C692="",B692&lt;&gt;"Pengeluaran"),"",IFERROR(INDEX(Dashboard!$B$18:$B$39,MATCH(C692,Dashboard!$A$18:$A$39,0)),""))</f>
        <v/>
      </c>
    </row>
    <row r="693" customFormat="false" ht="15" hidden="false" customHeight="false" outlineLevel="0" collapsed="false">
      <c r="A693" s="24"/>
      <c r="B693" s="25"/>
      <c r="C693" s="25"/>
      <c r="D693" s="25"/>
      <c r="E693" s="6"/>
      <c r="F693" s="26" t="str">
        <f aca="false">IF(A693="","",MONTH(A693))</f>
        <v/>
      </c>
      <c r="G693" s="26" t="str">
        <f aca="false">IF(A693="","",YEAR(A693))</f>
        <v/>
      </c>
      <c r="H693" s="11" t="str">
        <f aca="false">IF(OR(C693="",B693&lt;&gt;"Pengeluaran"),"",IFERROR(INDEX(Dashboard!$B$18:$B$39,MATCH(C693,Dashboard!$A$18:$A$39,0)),""))</f>
        <v/>
      </c>
    </row>
    <row r="694" customFormat="false" ht="15" hidden="false" customHeight="false" outlineLevel="0" collapsed="false">
      <c r="A694" s="24"/>
      <c r="B694" s="25"/>
      <c r="C694" s="25"/>
      <c r="D694" s="25"/>
      <c r="E694" s="6"/>
      <c r="F694" s="26" t="str">
        <f aca="false">IF(A694="","",MONTH(A694))</f>
        <v/>
      </c>
      <c r="G694" s="26" t="str">
        <f aca="false">IF(A694="","",YEAR(A694))</f>
        <v/>
      </c>
      <c r="H694" s="11" t="str">
        <f aca="false">IF(OR(C694="",B694&lt;&gt;"Pengeluaran"),"",IFERROR(INDEX(Dashboard!$B$18:$B$39,MATCH(C694,Dashboard!$A$18:$A$39,0)),""))</f>
        <v/>
      </c>
    </row>
    <row r="695" customFormat="false" ht="15" hidden="false" customHeight="false" outlineLevel="0" collapsed="false">
      <c r="A695" s="24"/>
      <c r="B695" s="25"/>
      <c r="C695" s="25"/>
      <c r="D695" s="25"/>
      <c r="E695" s="6"/>
      <c r="F695" s="26" t="str">
        <f aca="false">IF(A695="","",MONTH(A695))</f>
        <v/>
      </c>
      <c r="G695" s="26" t="str">
        <f aca="false">IF(A695="","",YEAR(A695))</f>
        <v/>
      </c>
      <c r="H695" s="11" t="str">
        <f aca="false">IF(OR(C695="",B695&lt;&gt;"Pengeluaran"),"",IFERROR(INDEX(Dashboard!$B$18:$B$39,MATCH(C695,Dashboard!$A$18:$A$39,0)),""))</f>
        <v/>
      </c>
    </row>
    <row r="696" customFormat="false" ht="15" hidden="false" customHeight="false" outlineLevel="0" collapsed="false">
      <c r="A696" s="24"/>
      <c r="B696" s="25"/>
      <c r="C696" s="25"/>
      <c r="D696" s="25"/>
      <c r="E696" s="6"/>
      <c r="F696" s="26" t="str">
        <f aca="false">IF(A696="","",MONTH(A696))</f>
        <v/>
      </c>
      <c r="G696" s="26" t="str">
        <f aca="false">IF(A696="","",YEAR(A696))</f>
        <v/>
      </c>
      <c r="H696" s="11" t="str">
        <f aca="false">IF(OR(C696="",B696&lt;&gt;"Pengeluaran"),"",IFERROR(INDEX(Dashboard!$B$18:$B$39,MATCH(C696,Dashboard!$A$18:$A$39,0)),""))</f>
        <v/>
      </c>
    </row>
    <row r="697" customFormat="false" ht="15" hidden="false" customHeight="false" outlineLevel="0" collapsed="false">
      <c r="A697" s="24"/>
      <c r="B697" s="25"/>
      <c r="C697" s="25"/>
      <c r="D697" s="25"/>
      <c r="E697" s="6"/>
      <c r="F697" s="26" t="str">
        <f aca="false">IF(A697="","",MONTH(A697))</f>
        <v/>
      </c>
      <c r="G697" s="26" t="str">
        <f aca="false">IF(A697="","",YEAR(A697))</f>
        <v/>
      </c>
      <c r="H697" s="11" t="str">
        <f aca="false">IF(OR(C697="",B697&lt;&gt;"Pengeluaran"),"",IFERROR(INDEX(Dashboard!$B$18:$B$39,MATCH(C697,Dashboard!$A$18:$A$39,0)),""))</f>
        <v/>
      </c>
    </row>
    <row r="698" customFormat="false" ht="15" hidden="false" customHeight="false" outlineLevel="0" collapsed="false">
      <c r="A698" s="24"/>
      <c r="B698" s="25"/>
      <c r="C698" s="25"/>
      <c r="D698" s="25"/>
      <c r="E698" s="6"/>
      <c r="F698" s="26" t="str">
        <f aca="false">IF(A698="","",MONTH(A698))</f>
        <v/>
      </c>
      <c r="G698" s="26" t="str">
        <f aca="false">IF(A698="","",YEAR(A698))</f>
        <v/>
      </c>
      <c r="H698" s="11" t="str">
        <f aca="false">IF(OR(C698="",B698&lt;&gt;"Pengeluaran"),"",IFERROR(INDEX(Dashboard!$B$18:$B$39,MATCH(C698,Dashboard!$A$18:$A$39,0)),""))</f>
        <v/>
      </c>
    </row>
    <row r="699" customFormat="false" ht="15" hidden="false" customHeight="false" outlineLevel="0" collapsed="false">
      <c r="A699" s="24"/>
      <c r="B699" s="25"/>
      <c r="C699" s="25"/>
      <c r="D699" s="25"/>
      <c r="E699" s="6"/>
      <c r="F699" s="26" t="str">
        <f aca="false">IF(A699="","",MONTH(A699))</f>
        <v/>
      </c>
      <c r="G699" s="26" t="str">
        <f aca="false">IF(A699="","",YEAR(A699))</f>
        <v/>
      </c>
      <c r="H699" s="11" t="str">
        <f aca="false">IF(OR(C699="",B699&lt;&gt;"Pengeluaran"),"",IFERROR(INDEX(Dashboard!$B$18:$B$39,MATCH(C699,Dashboard!$A$18:$A$39,0)),""))</f>
        <v/>
      </c>
    </row>
    <row r="700" customFormat="false" ht="15" hidden="false" customHeight="false" outlineLevel="0" collapsed="false">
      <c r="A700" s="24"/>
      <c r="B700" s="25"/>
      <c r="C700" s="25"/>
      <c r="D700" s="25"/>
      <c r="E700" s="6"/>
      <c r="F700" s="26" t="str">
        <f aca="false">IF(A700="","",MONTH(A700))</f>
        <v/>
      </c>
      <c r="G700" s="26" t="str">
        <f aca="false">IF(A700="","",YEAR(A700))</f>
        <v/>
      </c>
      <c r="H700" s="11" t="str">
        <f aca="false">IF(OR(C700="",B700&lt;&gt;"Pengeluaran"),"",IFERROR(INDEX(Dashboard!$B$18:$B$39,MATCH(C700,Dashboard!$A$18:$A$39,0)),""))</f>
        <v/>
      </c>
    </row>
    <row r="701" customFormat="false" ht="15" hidden="false" customHeight="false" outlineLevel="0" collapsed="false">
      <c r="A701" s="24"/>
      <c r="B701" s="25"/>
      <c r="C701" s="25"/>
      <c r="D701" s="25"/>
      <c r="E701" s="6"/>
      <c r="F701" s="26" t="str">
        <f aca="false">IF(A701="","",MONTH(A701))</f>
        <v/>
      </c>
      <c r="G701" s="26" t="str">
        <f aca="false">IF(A701="","",YEAR(A701))</f>
        <v/>
      </c>
      <c r="H701" s="11" t="str">
        <f aca="false">IF(OR(C701="",B701&lt;&gt;"Pengeluaran"),"",IFERROR(INDEX(Dashboard!$B$18:$B$39,MATCH(C701,Dashboard!$A$18:$A$39,0)),""))</f>
        <v/>
      </c>
    </row>
    <row r="702" customFormat="false" ht="15" hidden="false" customHeight="false" outlineLevel="0" collapsed="false">
      <c r="A702" s="24"/>
      <c r="B702" s="25"/>
      <c r="C702" s="25"/>
      <c r="D702" s="25"/>
      <c r="E702" s="6"/>
      <c r="F702" s="26" t="str">
        <f aca="false">IF(A702="","",MONTH(A702))</f>
        <v/>
      </c>
      <c r="G702" s="26" t="str">
        <f aca="false">IF(A702="","",YEAR(A702))</f>
        <v/>
      </c>
      <c r="H702" s="11" t="str">
        <f aca="false">IF(OR(C702="",B702&lt;&gt;"Pengeluaran"),"",IFERROR(INDEX(Dashboard!$B$18:$B$39,MATCH(C702,Dashboard!$A$18:$A$39,0)),""))</f>
        <v/>
      </c>
    </row>
    <row r="703" customFormat="false" ht="15" hidden="false" customHeight="false" outlineLevel="0" collapsed="false">
      <c r="A703" s="24"/>
      <c r="B703" s="25"/>
      <c r="C703" s="25"/>
      <c r="D703" s="25"/>
      <c r="E703" s="6"/>
      <c r="F703" s="26" t="str">
        <f aca="false">IF(A703="","",MONTH(A703))</f>
        <v/>
      </c>
      <c r="G703" s="26" t="str">
        <f aca="false">IF(A703="","",YEAR(A703))</f>
        <v/>
      </c>
      <c r="H703" s="11" t="str">
        <f aca="false">IF(OR(C703="",B703&lt;&gt;"Pengeluaran"),"",IFERROR(INDEX(Dashboard!$B$18:$B$39,MATCH(C703,Dashboard!$A$18:$A$39,0)),""))</f>
        <v/>
      </c>
    </row>
    <row r="704" customFormat="false" ht="15" hidden="false" customHeight="false" outlineLevel="0" collapsed="false">
      <c r="A704" s="24"/>
      <c r="B704" s="25"/>
      <c r="C704" s="25"/>
      <c r="D704" s="25"/>
      <c r="E704" s="6"/>
      <c r="F704" s="26" t="str">
        <f aca="false">IF(A704="","",MONTH(A704))</f>
        <v/>
      </c>
      <c r="G704" s="26" t="str">
        <f aca="false">IF(A704="","",YEAR(A704))</f>
        <v/>
      </c>
      <c r="H704" s="11" t="str">
        <f aca="false">IF(OR(C704="",B704&lt;&gt;"Pengeluaran"),"",IFERROR(INDEX(Dashboard!$B$18:$B$39,MATCH(C704,Dashboard!$A$18:$A$39,0)),""))</f>
        <v/>
      </c>
    </row>
    <row r="705" customFormat="false" ht="15" hidden="false" customHeight="false" outlineLevel="0" collapsed="false">
      <c r="A705" s="24"/>
      <c r="B705" s="25"/>
      <c r="C705" s="25"/>
      <c r="D705" s="25"/>
      <c r="E705" s="6"/>
      <c r="F705" s="26" t="str">
        <f aca="false">IF(A705="","",MONTH(A705))</f>
        <v/>
      </c>
      <c r="G705" s="26" t="str">
        <f aca="false">IF(A705="","",YEAR(A705))</f>
        <v/>
      </c>
      <c r="H705" s="11" t="str">
        <f aca="false">IF(OR(C705="",B705&lt;&gt;"Pengeluaran"),"",IFERROR(INDEX(Dashboard!$B$18:$B$39,MATCH(C705,Dashboard!$A$18:$A$39,0)),""))</f>
        <v/>
      </c>
    </row>
    <row r="706" customFormat="false" ht="15" hidden="false" customHeight="false" outlineLevel="0" collapsed="false">
      <c r="A706" s="24"/>
      <c r="B706" s="25"/>
      <c r="C706" s="25"/>
      <c r="D706" s="25"/>
      <c r="E706" s="6"/>
      <c r="F706" s="26" t="str">
        <f aca="false">IF(A706="","",MONTH(A706))</f>
        <v/>
      </c>
      <c r="G706" s="26" t="str">
        <f aca="false">IF(A706="","",YEAR(A706))</f>
        <v/>
      </c>
      <c r="H706" s="11" t="str">
        <f aca="false">IF(OR(C706="",B706&lt;&gt;"Pengeluaran"),"",IFERROR(INDEX(Dashboard!$B$18:$B$39,MATCH(C706,Dashboard!$A$18:$A$39,0)),""))</f>
        <v/>
      </c>
    </row>
    <row r="707" customFormat="false" ht="15" hidden="false" customHeight="false" outlineLevel="0" collapsed="false">
      <c r="A707" s="24"/>
      <c r="B707" s="25"/>
      <c r="C707" s="25"/>
      <c r="D707" s="25"/>
      <c r="E707" s="6"/>
      <c r="F707" s="26" t="str">
        <f aca="false">IF(A707="","",MONTH(A707))</f>
        <v/>
      </c>
      <c r="G707" s="26" t="str">
        <f aca="false">IF(A707="","",YEAR(A707))</f>
        <v/>
      </c>
      <c r="H707" s="11" t="str">
        <f aca="false">IF(OR(C707="",B707&lt;&gt;"Pengeluaran"),"",IFERROR(INDEX(Dashboard!$B$18:$B$39,MATCH(C707,Dashboard!$A$18:$A$39,0)),""))</f>
        <v/>
      </c>
    </row>
    <row r="708" customFormat="false" ht="15" hidden="false" customHeight="false" outlineLevel="0" collapsed="false">
      <c r="A708" s="24"/>
      <c r="B708" s="25"/>
      <c r="C708" s="25"/>
      <c r="D708" s="25"/>
      <c r="E708" s="6"/>
      <c r="F708" s="26" t="str">
        <f aca="false">IF(A708="","",MONTH(A708))</f>
        <v/>
      </c>
      <c r="G708" s="26" t="str">
        <f aca="false">IF(A708="","",YEAR(A708))</f>
        <v/>
      </c>
      <c r="H708" s="11" t="str">
        <f aca="false">IF(OR(C708="",B708&lt;&gt;"Pengeluaran"),"",IFERROR(INDEX(Dashboard!$B$18:$B$39,MATCH(C708,Dashboard!$A$18:$A$39,0)),""))</f>
        <v/>
      </c>
    </row>
    <row r="709" customFormat="false" ht="15" hidden="false" customHeight="false" outlineLevel="0" collapsed="false">
      <c r="A709" s="24"/>
      <c r="B709" s="25"/>
      <c r="C709" s="25"/>
      <c r="D709" s="25"/>
      <c r="E709" s="6"/>
      <c r="F709" s="26" t="str">
        <f aca="false">IF(A709="","",MONTH(A709))</f>
        <v/>
      </c>
      <c r="G709" s="26" t="str">
        <f aca="false">IF(A709="","",YEAR(A709))</f>
        <v/>
      </c>
      <c r="H709" s="11" t="str">
        <f aca="false">IF(OR(C709="",B709&lt;&gt;"Pengeluaran"),"",IFERROR(INDEX(Dashboard!$B$18:$B$39,MATCH(C709,Dashboard!$A$18:$A$39,0)),""))</f>
        <v/>
      </c>
    </row>
    <row r="710" customFormat="false" ht="15" hidden="false" customHeight="false" outlineLevel="0" collapsed="false">
      <c r="A710" s="24"/>
      <c r="B710" s="25"/>
      <c r="C710" s="25"/>
      <c r="D710" s="25"/>
      <c r="E710" s="6"/>
      <c r="F710" s="26" t="str">
        <f aca="false">IF(A710="","",MONTH(A710))</f>
        <v/>
      </c>
      <c r="G710" s="26" t="str">
        <f aca="false">IF(A710="","",YEAR(A710))</f>
        <v/>
      </c>
      <c r="H710" s="11" t="str">
        <f aca="false">IF(OR(C710="",B710&lt;&gt;"Pengeluaran"),"",IFERROR(INDEX(Dashboard!$B$18:$B$39,MATCH(C710,Dashboard!$A$18:$A$39,0)),""))</f>
        <v/>
      </c>
    </row>
    <row r="711" customFormat="false" ht="15" hidden="false" customHeight="false" outlineLevel="0" collapsed="false">
      <c r="A711" s="24"/>
      <c r="B711" s="25"/>
      <c r="C711" s="25"/>
      <c r="D711" s="25"/>
      <c r="E711" s="6"/>
      <c r="F711" s="26" t="str">
        <f aca="false">IF(A711="","",MONTH(A711))</f>
        <v/>
      </c>
      <c r="G711" s="26" t="str">
        <f aca="false">IF(A711="","",YEAR(A711))</f>
        <v/>
      </c>
      <c r="H711" s="11" t="str">
        <f aca="false">IF(OR(C711="",B711&lt;&gt;"Pengeluaran"),"",IFERROR(INDEX(Dashboard!$B$18:$B$39,MATCH(C711,Dashboard!$A$18:$A$39,0)),""))</f>
        <v/>
      </c>
    </row>
    <row r="712" customFormat="false" ht="15" hidden="false" customHeight="false" outlineLevel="0" collapsed="false">
      <c r="A712" s="24"/>
      <c r="B712" s="25"/>
      <c r="C712" s="25"/>
      <c r="D712" s="25"/>
      <c r="E712" s="6"/>
      <c r="F712" s="26" t="str">
        <f aca="false">IF(A712="","",MONTH(A712))</f>
        <v/>
      </c>
      <c r="G712" s="26" t="str">
        <f aca="false">IF(A712="","",YEAR(A712))</f>
        <v/>
      </c>
      <c r="H712" s="11" t="str">
        <f aca="false">IF(OR(C712="",B712&lt;&gt;"Pengeluaran"),"",IFERROR(INDEX(Dashboard!$B$18:$B$39,MATCH(C712,Dashboard!$A$18:$A$39,0)),""))</f>
        <v/>
      </c>
    </row>
    <row r="713" customFormat="false" ht="15" hidden="false" customHeight="false" outlineLevel="0" collapsed="false">
      <c r="A713" s="24"/>
      <c r="B713" s="25"/>
      <c r="C713" s="25"/>
      <c r="D713" s="25"/>
      <c r="E713" s="6"/>
      <c r="F713" s="26" t="str">
        <f aca="false">IF(A713="","",MONTH(A713))</f>
        <v/>
      </c>
      <c r="G713" s="26" t="str">
        <f aca="false">IF(A713="","",YEAR(A713))</f>
        <v/>
      </c>
      <c r="H713" s="11" t="str">
        <f aca="false">IF(OR(C713="",B713&lt;&gt;"Pengeluaran"),"",IFERROR(INDEX(Dashboard!$B$18:$B$39,MATCH(C713,Dashboard!$A$18:$A$39,0)),""))</f>
        <v/>
      </c>
    </row>
    <row r="714" customFormat="false" ht="15" hidden="false" customHeight="false" outlineLevel="0" collapsed="false">
      <c r="A714" s="24"/>
      <c r="B714" s="25"/>
      <c r="C714" s="25"/>
      <c r="D714" s="25"/>
      <c r="E714" s="6"/>
      <c r="F714" s="26" t="str">
        <f aca="false">IF(A714="","",MONTH(A714))</f>
        <v/>
      </c>
      <c r="G714" s="26" t="str">
        <f aca="false">IF(A714="","",YEAR(A714))</f>
        <v/>
      </c>
      <c r="H714" s="11" t="str">
        <f aca="false">IF(OR(C714="",B714&lt;&gt;"Pengeluaran"),"",IFERROR(INDEX(Dashboard!$B$18:$B$39,MATCH(C714,Dashboard!$A$18:$A$39,0)),""))</f>
        <v/>
      </c>
    </row>
    <row r="715" customFormat="false" ht="15" hidden="false" customHeight="false" outlineLevel="0" collapsed="false">
      <c r="A715" s="24"/>
      <c r="B715" s="25"/>
      <c r="C715" s="25"/>
      <c r="D715" s="25"/>
      <c r="E715" s="6"/>
      <c r="F715" s="26" t="str">
        <f aca="false">IF(A715="","",MONTH(A715))</f>
        <v/>
      </c>
      <c r="G715" s="26" t="str">
        <f aca="false">IF(A715="","",YEAR(A715))</f>
        <v/>
      </c>
      <c r="H715" s="11" t="str">
        <f aca="false">IF(OR(C715="",B715&lt;&gt;"Pengeluaran"),"",IFERROR(INDEX(Dashboard!$B$18:$B$39,MATCH(C715,Dashboard!$A$18:$A$39,0)),""))</f>
        <v/>
      </c>
    </row>
    <row r="716" customFormat="false" ht="15" hidden="false" customHeight="false" outlineLevel="0" collapsed="false">
      <c r="A716" s="24"/>
      <c r="B716" s="25"/>
      <c r="C716" s="25"/>
      <c r="D716" s="25"/>
      <c r="E716" s="6"/>
      <c r="F716" s="26" t="str">
        <f aca="false">IF(A716="","",MONTH(A716))</f>
        <v/>
      </c>
      <c r="G716" s="26" t="str">
        <f aca="false">IF(A716="","",YEAR(A716))</f>
        <v/>
      </c>
      <c r="H716" s="11" t="str">
        <f aca="false">IF(OR(C716="",B716&lt;&gt;"Pengeluaran"),"",IFERROR(INDEX(Dashboard!$B$18:$B$39,MATCH(C716,Dashboard!$A$18:$A$39,0)),""))</f>
        <v/>
      </c>
    </row>
    <row r="717" customFormat="false" ht="15" hidden="false" customHeight="false" outlineLevel="0" collapsed="false">
      <c r="A717" s="24"/>
      <c r="B717" s="25"/>
      <c r="C717" s="25"/>
      <c r="D717" s="25"/>
      <c r="E717" s="6"/>
      <c r="F717" s="26" t="str">
        <f aca="false">IF(A717="","",MONTH(A717))</f>
        <v/>
      </c>
      <c r="G717" s="26" t="str">
        <f aca="false">IF(A717="","",YEAR(A717))</f>
        <v/>
      </c>
      <c r="H717" s="11" t="str">
        <f aca="false">IF(OR(C717="",B717&lt;&gt;"Pengeluaran"),"",IFERROR(INDEX(Dashboard!$B$18:$B$39,MATCH(C717,Dashboard!$A$18:$A$39,0)),""))</f>
        <v/>
      </c>
    </row>
    <row r="718" customFormat="false" ht="15" hidden="false" customHeight="false" outlineLevel="0" collapsed="false">
      <c r="A718" s="24"/>
      <c r="B718" s="25"/>
      <c r="C718" s="25"/>
      <c r="D718" s="25"/>
      <c r="E718" s="6"/>
      <c r="F718" s="26" t="str">
        <f aca="false">IF(A718="","",MONTH(A718))</f>
        <v/>
      </c>
      <c r="G718" s="26" t="str">
        <f aca="false">IF(A718="","",YEAR(A718))</f>
        <v/>
      </c>
      <c r="H718" s="11" t="str">
        <f aca="false">IF(OR(C718="",B718&lt;&gt;"Pengeluaran"),"",IFERROR(INDEX(Dashboard!$B$18:$B$39,MATCH(C718,Dashboard!$A$18:$A$39,0)),""))</f>
        <v/>
      </c>
    </row>
    <row r="719" customFormat="false" ht="15" hidden="false" customHeight="false" outlineLevel="0" collapsed="false">
      <c r="A719" s="24"/>
      <c r="B719" s="25"/>
      <c r="C719" s="25"/>
      <c r="D719" s="25"/>
      <c r="E719" s="6"/>
      <c r="F719" s="26" t="str">
        <f aca="false">IF(A719="","",MONTH(A719))</f>
        <v/>
      </c>
      <c r="G719" s="26" t="str">
        <f aca="false">IF(A719="","",YEAR(A719))</f>
        <v/>
      </c>
      <c r="H719" s="11" t="str">
        <f aca="false">IF(OR(C719="",B719&lt;&gt;"Pengeluaran"),"",IFERROR(INDEX(Dashboard!$B$18:$B$39,MATCH(C719,Dashboard!$A$18:$A$39,0)),""))</f>
        <v/>
      </c>
    </row>
    <row r="720" customFormat="false" ht="15" hidden="false" customHeight="false" outlineLevel="0" collapsed="false">
      <c r="A720" s="24"/>
      <c r="B720" s="25"/>
      <c r="C720" s="25"/>
      <c r="D720" s="25"/>
      <c r="E720" s="6"/>
      <c r="F720" s="26" t="str">
        <f aca="false">IF(A720="","",MONTH(A720))</f>
        <v/>
      </c>
      <c r="G720" s="26" t="str">
        <f aca="false">IF(A720="","",YEAR(A720))</f>
        <v/>
      </c>
      <c r="H720" s="11" t="str">
        <f aca="false">IF(OR(C720="",B720&lt;&gt;"Pengeluaran"),"",IFERROR(INDEX(Dashboard!$B$18:$B$39,MATCH(C720,Dashboard!$A$18:$A$39,0)),""))</f>
        <v/>
      </c>
    </row>
    <row r="721" customFormat="false" ht="15" hidden="false" customHeight="false" outlineLevel="0" collapsed="false">
      <c r="A721" s="24"/>
      <c r="B721" s="25"/>
      <c r="C721" s="25"/>
      <c r="D721" s="25"/>
      <c r="E721" s="6"/>
      <c r="F721" s="26" t="str">
        <f aca="false">IF(A721="","",MONTH(A721))</f>
        <v/>
      </c>
      <c r="G721" s="26" t="str">
        <f aca="false">IF(A721="","",YEAR(A721))</f>
        <v/>
      </c>
      <c r="H721" s="11" t="str">
        <f aca="false">IF(OR(C721="",B721&lt;&gt;"Pengeluaran"),"",IFERROR(INDEX(Dashboard!$B$18:$B$39,MATCH(C721,Dashboard!$A$18:$A$39,0)),""))</f>
        <v/>
      </c>
    </row>
    <row r="722" customFormat="false" ht="15" hidden="false" customHeight="false" outlineLevel="0" collapsed="false">
      <c r="A722" s="24"/>
      <c r="B722" s="25"/>
      <c r="C722" s="25"/>
      <c r="D722" s="25"/>
      <c r="E722" s="6"/>
      <c r="F722" s="26" t="str">
        <f aca="false">IF(A722="","",MONTH(A722))</f>
        <v/>
      </c>
      <c r="G722" s="26" t="str">
        <f aca="false">IF(A722="","",YEAR(A722))</f>
        <v/>
      </c>
      <c r="H722" s="11" t="str">
        <f aca="false">IF(OR(C722="",B722&lt;&gt;"Pengeluaran"),"",IFERROR(INDEX(Dashboard!$B$18:$B$39,MATCH(C722,Dashboard!$A$18:$A$39,0)),""))</f>
        <v/>
      </c>
    </row>
    <row r="723" customFormat="false" ht="15" hidden="false" customHeight="false" outlineLevel="0" collapsed="false">
      <c r="A723" s="24"/>
      <c r="B723" s="25"/>
      <c r="C723" s="25"/>
      <c r="D723" s="25"/>
      <c r="E723" s="6"/>
      <c r="F723" s="26" t="str">
        <f aca="false">IF(A723="","",MONTH(A723))</f>
        <v/>
      </c>
      <c r="G723" s="26" t="str">
        <f aca="false">IF(A723="","",YEAR(A723))</f>
        <v/>
      </c>
      <c r="H723" s="11" t="str">
        <f aca="false">IF(OR(C723="",B723&lt;&gt;"Pengeluaran"),"",IFERROR(INDEX(Dashboard!$B$18:$B$39,MATCH(C723,Dashboard!$A$18:$A$39,0)),""))</f>
        <v/>
      </c>
    </row>
    <row r="724" customFormat="false" ht="15" hidden="false" customHeight="false" outlineLevel="0" collapsed="false">
      <c r="A724" s="24"/>
      <c r="B724" s="25"/>
      <c r="C724" s="25"/>
      <c r="D724" s="25"/>
      <c r="E724" s="6"/>
      <c r="F724" s="26" t="str">
        <f aca="false">IF(A724="","",MONTH(A724))</f>
        <v/>
      </c>
      <c r="G724" s="26" t="str">
        <f aca="false">IF(A724="","",YEAR(A724))</f>
        <v/>
      </c>
      <c r="H724" s="11" t="str">
        <f aca="false">IF(OR(C724="",B724&lt;&gt;"Pengeluaran"),"",IFERROR(INDEX(Dashboard!$B$18:$B$39,MATCH(C724,Dashboard!$A$18:$A$39,0)),""))</f>
        <v/>
      </c>
    </row>
    <row r="725" customFormat="false" ht="15" hidden="false" customHeight="false" outlineLevel="0" collapsed="false">
      <c r="A725" s="24"/>
      <c r="B725" s="25"/>
      <c r="C725" s="25"/>
      <c r="D725" s="25"/>
      <c r="E725" s="6"/>
      <c r="F725" s="26" t="str">
        <f aca="false">IF(A725="","",MONTH(A725))</f>
        <v/>
      </c>
      <c r="G725" s="26" t="str">
        <f aca="false">IF(A725="","",YEAR(A725))</f>
        <v/>
      </c>
      <c r="H725" s="11" t="str">
        <f aca="false">IF(OR(C725="",B725&lt;&gt;"Pengeluaran"),"",IFERROR(INDEX(Dashboard!$B$18:$B$39,MATCH(C725,Dashboard!$A$18:$A$39,0)),""))</f>
        <v/>
      </c>
    </row>
    <row r="726" customFormat="false" ht="15" hidden="false" customHeight="false" outlineLevel="0" collapsed="false">
      <c r="A726" s="24"/>
      <c r="B726" s="25"/>
      <c r="C726" s="25"/>
      <c r="D726" s="25"/>
      <c r="E726" s="6"/>
      <c r="F726" s="26" t="str">
        <f aca="false">IF(A726="","",MONTH(A726))</f>
        <v/>
      </c>
      <c r="G726" s="26" t="str">
        <f aca="false">IF(A726="","",YEAR(A726))</f>
        <v/>
      </c>
      <c r="H726" s="11" t="str">
        <f aca="false">IF(OR(C726="",B726&lt;&gt;"Pengeluaran"),"",IFERROR(INDEX(Dashboard!$B$18:$B$39,MATCH(C726,Dashboard!$A$18:$A$39,0)),""))</f>
        <v/>
      </c>
    </row>
    <row r="727" customFormat="false" ht="15" hidden="false" customHeight="false" outlineLevel="0" collapsed="false">
      <c r="A727" s="24"/>
      <c r="B727" s="25"/>
      <c r="C727" s="25"/>
      <c r="D727" s="25"/>
      <c r="E727" s="6"/>
      <c r="F727" s="26" t="str">
        <f aca="false">IF(A727="","",MONTH(A727))</f>
        <v/>
      </c>
      <c r="G727" s="26" t="str">
        <f aca="false">IF(A727="","",YEAR(A727))</f>
        <v/>
      </c>
      <c r="H727" s="11" t="str">
        <f aca="false">IF(OR(C727="",B727&lt;&gt;"Pengeluaran"),"",IFERROR(INDEX(Dashboard!$B$18:$B$39,MATCH(C727,Dashboard!$A$18:$A$39,0)),""))</f>
        <v/>
      </c>
    </row>
    <row r="728" customFormat="false" ht="15" hidden="false" customHeight="false" outlineLevel="0" collapsed="false">
      <c r="A728" s="24"/>
      <c r="B728" s="25"/>
      <c r="C728" s="25"/>
      <c r="D728" s="25"/>
      <c r="E728" s="6"/>
      <c r="F728" s="26" t="str">
        <f aca="false">IF(A728="","",MONTH(A728))</f>
        <v/>
      </c>
      <c r="G728" s="26" t="str">
        <f aca="false">IF(A728="","",YEAR(A728))</f>
        <v/>
      </c>
      <c r="H728" s="11" t="str">
        <f aca="false">IF(OR(C728="",B728&lt;&gt;"Pengeluaran"),"",IFERROR(INDEX(Dashboard!$B$18:$B$39,MATCH(C728,Dashboard!$A$18:$A$39,0)),""))</f>
        <v/>
      </c>
    </row>
    <row r="729" customFormat="false" ht="15" hidden="false" customHeight="false" outlineLevel="0" collapsed="false">
      <c r="A729" s="24"/>
      <c r="B729" s="25"/>
      <c r="C729" s="25"/>
      <c r="D729" s="25"/>
      <c r="E729" s="6"/>
      <c r="F729" s="26" t="str">
        <f aca="false">IF(A729="","",MONTH(A729))</f>
        <v/>
      </c>
      <c r="G729" s="26" t="str">
        <f aca="false">IF(A729="","",YEAR(A729))</f>
        <v/>
      </c>
      <c r="H729" s="11" t="str">
        <f aca="false">IF(OR(C729="",B729&lt;&gt;"Pengeluaran"),"",IFERROR(INDEX(Dashboard!$B$18:$B$39,MATCH(C729,Dashboard!$A$18:$A$39,0)),""))</f>
        <v/>
      </c>
    </row>
    <row r="730" customFormat="false" ht="15" hidden="false" customHeight="false" outlineLevel="0" collapsed="false">
      <c r="A730" s="24"/>
      <c r="B730" s="25"/>
      <c r="C730" s="25"/>
      <c r="D730" s="25"/>
      <c r="E730" s="6"/>
      <c r="F730" s="26" t="str">
        <f aca="false">IF(A730="","",MONTH(A730))</f>
        <v/>
      </c>
      <c r="G730" s="26" t="str">
        <f aca="false">IF(A730="","",YEAR(A730))</f>
        <v/>
      </c>
      <c r="H730" s="11" t="str">
        <f aca="false">IF(OR(C730="",B730&lt;&gt;"Pengeluaran"),"",IFERROR(INDEX(Dashboard!$B$18:$B$39,MATCH(C730,Dashboard!$A$18:$A$39,0)),""))</f>
        <v/>
      </c>
    </row>
    <row r="731" customFormat="false" ht="15" hidden="false" customHeight="false" outlineLevel="0" collapsed="false">
      <c r="A731" s="24"/>
      <c r="B731" s="25"/>
      <c r="C731" s="25"/>
      <c r="D731" s="25"/>
      <c r="E731" s="6"/>
      <c r="F731" s="26" t="str">
        <f aca="false">IF(A731="","",MONTH(A731))</f>
        <v/>
      </c>
      <c r="G731" s="26" t="str">
        <f aca="false">IF(A731="","",YEAR(A731))</f>
        <v/>
      </c>
      <c r="H731" s="11" t="str">
        <f aca="false">IF(OR(C731="",B731&lt;&gt;"Pengeluaran"),"",IFERROR(INDEX(Dashboard!$B$18:$B$39,MATCH(C731,Dashboard!$A$18:$A$39,0)),""))</f>
        <v/>
      </c>
    </row>
    <row r="732" customFormat="false" ht="15" hidden="false" customHeight="false" outlineLevel="0" collapsed="false">
      <c r="A732" s="24"/>
      <c r="B732" s="25"/>
      <c r="C732" s="25"/>
      <c r="D732" s="25"/>
      <c r="E732" s="6"/>
      <c r="F732" s="26" t="str">
        <f aca="false">IF(A732="","",MONTH(A732))</f>
        <v/>
      </c>
      <c r="G732" s="26" t="str">
        <f aca="false">IF(A732="","",YEAR(A732))</f>
        <v/>
      </c>
      <c r="H732" s="11" t="str">
        <f aca="false">IF(OR(C732="",B732&lt;&gt;"Pengeluaran"),"",IFERROR(INDEX(Dashboard!$B$18:$B$39,MATCH(C732,Dashboard!$A$18:$A$39,0)),""))</f>
        <v/>
      </c>
    </row>
    <row r="733" customFormat="false" ht="15" hidden="false" customHeight="false" outlineLevel="0" collapsed="false">
      <c r="A733" s="24"/>
      <c r="B733" s="25"/>
      <c r="C733" s="25"/>
      <c r="D733" s="25"/>
      <c r="E733" s="6"/>
      <c r="F733" s="26" t="str">
        <f aca="false">IF(A733="","",MONTH(A733))</f>
        <v/>
      </c>
      <c r="G733" s="26" t="str">
        <f aca="false">IF(A733="","",YEAR(A733))</f>
        <v/>
      </c>
      <c r="H733" s="11" t="str">
        <f aca="false">IF(OR(C733="",B733&lt;&gt;"Pengeluaran"),"",IFERROR(INDEX(Dashboard!$B$18:$B$39,MATCH(C733,Dashboard!$A$18:$A$39,0)),""))</f>
        <v/>
      </c>
    </row>
    <row r="734" customFormat="false" ht="15" hidden="false" customHeight="false" outlineLevel="0" collapsed="false">
      <c r="A734" s="24"/>
      <c r="B734" s="25"/>
      <c r="C734" s="25"/>
      <c r="D734" s="25"/>
      <c r="E734" s="6"/>
      <c r="F734" s="26" t="str">
        <f aca="false">IF(A734="","",MONTH(A734))</f>
        <v/>
      </c>
      <c r="G734" s="26" t="str">
        <f aca="false">IF(A734="","",YEAR(A734))</f>
        <v/>
      </c>
      <c r="H734" s="11" t="str">
        <f aca="false">IF(OR(C734="",B734&lt;&gt;"Pengeluaran"),"",IFERROR(INDEX(Dashboard!$B$18:$B$39,MATCH(C734,Dashboard!$A$18:$A$39,0)),""))</f>
        <v/>
      </c>
    </row>
    <row r="735" customFormat="false" ht="15" hidden="false" customHeight="false" outlineLevel="0" collapsed="false">
      <c r="A735" s="24"/>
      <c r="B735" s="25"/>
      <c r="C735" s="25"/>
      <c r="D735" s="25"/>
      <c r="E735" s="6"/>
      <c r="F735" s="26" t="str">
        <f aca="false">IF(A735="","",MONTH(A735))</f>
        <v/>
      </c>
      <c r="G735" s="26" t="str">
        <f aca="false">IF(A735="","",YEAR(A735))</f>
        <v/>
      </c>
      <c r="H735" s="11" t="str">
        <f aca="false">IF(OR(C735="",B735&lt;&gt;"Pengeluaran"),"",IFERROR(INDEX(Dashboard!$B$18:$B$39,MATCH(C735,Dashboard!$A$18:$A$39,0)),""))</f>
        <v/>
      </c>
    </row>
    <row r="736" customFormat="false" ht="15" hidden="false" customHeight="false" outlineLevel="0" collapsed="false">
      <c r="A736" s="24"/>
      <c r="B736" s="25"/>
      <c r="C736" s="25"/>
      <c r="D736" s="25"/>
      <c r="E736" s="6"/>
      <c r="F736" s="26" t="str">
        <f aca="false">IF(A736="","",MONTH(A736))</f>
        <v/>
      </c>
      <c r="G736" s="26" t="str">
        <f aca="false">IF(A736="","",YEAR(A736))</f>
        <v/>
      </c>
      <c r="H736" s="11" t="str">
        <f aca="false">IF(OR(C736="",B736&lt;&gt;"Pengeluaran"),"",IFERROR(INDEX(Dashboard!$B$18:$B$39,MATCH(C736,Dashboard!$A$18:$A$39,0)),""))</f>
        <v/>
      </c>
    </row>
    <row r="737" customFormat="false" ht="15" hidden="false" customHeight="false" outlineLevel="0" collapsed="false">
      <c r="A737" s="24"/>
      <c r="B737" s="25"/>
      <c r="C737" s="25"/>
      <c r="D737" s="25"/>
      <c r="E737" s="6"/>
      <c r="F737" s="26" t="str">
        <f aca="false">IF(A737="","",MONTH(A737))</f>
        <v/>
      </c>
      <c r="G737" s="26" t="str">
        <f aca="false">IF(A737="","",YEAR(A737))</f>
        <v/>
      </c>
      <c r="H737" s="11" t="str">
        <f aca="false">IF(OR(C737="",B737&lt;&gt;"Pengeluaran"),"",IFERROR(INDEX(Dashboard!$B$18:$B$39,MATCH(C737,Dashboard!$A$18:$A$39,0)),""))</f>
        <v/>
      </c>
    </row>
    <row r="738" customFormat="false" ht="15" hidden="false" customHeight="false" outlineLevel="0" collapsed="false">
      <c r="A738" s="24"/>
      <c r="B738" s="25"/>
      <c r="C738" s="25"/>
      <c r="D738" s="25"/>
      <c r="E738" s="6"/>
      <c r="F738" s="26" t="str">
        <f aca="false">IF(A738="","",MONTH(A738))</f>
        <v/>
      </c>
      <c r="G738" s="26" t="str">
        <f aca="false">IF(A738="","",YEAR(A738))</f>
        <v/>
      </c>
      <c r="H738" s="11" t="str">
        <f aca="false">IF(OR(C738="",B738&lt;&gt;"Pengeluaran"),"",IFERROR(INDEX(Dashboard!$B$18:$B$39,MATCH(C738,Dashboard!$A$18:$A$39,0)),""))</f>
        <v/>
      </c>
    </row>
    <row r="739" customFormat="false" ht="15" hidden="false" customHeight="false" outlineLevel="0" collapsed="false">
      <c r="A739" s="24"/>
      <c r="B739" s="25"/>
      <c r="C739" s="25"/>
      <c r="D739" s="25"/>
      <c r="E739" s="6"/>
      <c r="F739" s="26" t="str">
        <f aca="false">IF(A739="","",MONTH(A739))</f>
        <v/>
      </c>
      <c r="G739" s="26" t="str">
        <f aca="false">IF(A739="","",YEAR(A739))</f>
        <v/>
      </c>
      <c r="H739" s="11" t="str">
        <f aca="false">IF(OR(C739="",B739&lt;&gt;"Pengeluaran"),"",IFERROR(INDEX(Dashboard!$B$18:$B$39,MATCH(C739,Dashboard!$A$18:$A$39,0)),""))</f>
        <v/>
      </c>
    </row>
    <row r="740" customFormat="false" ht="15" hidden="false" customHeight="false" outlineLevel="0" collapsed="false">
      <c r="A740" s="24"/>
      <c r="B740" s="25"/>
      <c r="C740" s="25"/>
      <c r="D740" s="25"/>
      <c r="E740" s="6"/>
      <c r="F740" s="26" t="str">
        <f aca="false">IF(A740="","",MONTH(A740))</f>
        <v/>
      </c>
      <c r="G740" s="26" t="str">
        <f aca="false">IF(A740="","",YEAR(A740))</f>
        <v/>
      </c>
      <c r="H740" s="11" t="str">
        <f aca="false">IF(OR(C740="",B740&lt;&gt;"Pengeluaran"),"",IFERROR(INDEX(Dashboard!$B$18:$B$39,MATCH(C740,Dashboard!$A$18:$A$39,0)),""))</f>
        <v/>
      </c>
    </row>
    <row r="741" customFormat="false" ht="15" hidden="false" customHeight="false" outlineLevel="0" collapsed="false">
      <c r="A741" s="24"/>
      <c r="B741" s="25"/>
      <c r="C741" s="25"/>
      <c r="D741" s="25"/>
      <c r="E741" s="6"/>
      <c r="F741" s="26" t="str">
        <f aca="false">IF(A741="","",MONTH(A741))</f>
        <v/>
      </c>
      <c r="G741" s="26" t="str">
        <f aca="false">IF(A741="","",YEAR(A741))</f>
        <v/>
      </c>
      <c r="H741" s="11" t="str">
        <f aca="false">IF(OR(C741="",B741&lt;&gt;"Pengeluaran"),"",IFERROR(INDEX(Dashboard!$B$18:$B$39,MATCH(C741,Dashboard!$A$18:$A$39,0)),""))</f>
        <v/>
      </c>
    </row>
    <row r="742" customFormat="false" ht="15" hidden="false" customHeight="false" outlineLevel="0" collapsed="false">
      <c r="A742" s="24"/>
      <c r="B742" s="25"/>
      <c r="C742" s="25"/>
      <c r="D742" s="25"/>
      <c r="E742" s="6"/>
      <c r="F742" s="26" t="str">
        <f aca="false">IF(A742="","",MONTH(A742))</f>
        <v/>
      </c>
      <c r="G742" s="26" t="str">
        <f aca="false">IF(A742="","",YEAR(A742))</f>
        <v/>
      </c>
      <c r="H742" s="11" t="str">
        <f aca="false">IF(OR(C742="",B742&lt;&gt;"Pengeluaran"),"",IFERROR(INDEX(Dashboard!$B$18:$B$39,MATCH(C742,Dashboard!$A$18:$A$39,0)),""))</f>
        <v/>
      </c>
    </row>
    <row r="743" customFormat="false" ht="15" hidden="false" customHeight="false" outlineLevel="0" collapsed="false">
      <c r="A743" s="24"/>
      <c r="B743" s="25"/>
      <c r="C743" s="25"/>
      <c r="D743" s="25"/>
      <c r="E743" s="6"/>
      <c r="F743" s="26" t="str">
        <f aca="false">IF(A743="","",MONTH(A743))</f>
        <v/>
      </c>
      <c r="G743" s="26" t="str">
        <f aca="false">IF(A743="","",YEAR(A743))</f>
        <v/>
      </c>
      <c r="H743" s="11" t="str">
        <f aca="false">IF(OR(C743="",B743&lt;&gt;"Pengeluaran"),"",IFERROR(INDEX(Dashboard!$B$18:$B$39,MATCH(C743,Dashboard!$A$18:$A$39,0)),""))</f>
        <v/>
      </c>
    </row>
    <row r="744" customFormat="false" ht="15" hidden="false" customHeight="false" outlineLevel="0" collapsed="false">
      <c r="A744" s="24"/>
      <c r="B744" s="25"/>
      <c r="C744" s="25"/>
      <c r="D744" s="25"/>
      <c r="E744" s="6"/>
      <c r="F744" s="26" t="str">
        <f aca="false">IF(A744="","",MONTH(A744))</f>
        <v/>
      </c>
      <c r="G744" s="26" t="str">
        <f aca="false">IF(A744="","",YEAR(A744))</f>
        <v/>
      </c>
      <c r="H744" s="11" t="str">
        <f aca="false">IF(OR(C744="",B744&lt;&gt;"Pengeluaran"),"",IFERROR(INDEX(Dashboard!$B$18:$B$39,MATCH(C744,Dashboard!$A$18:$A$39,0)),""))</f>
        <v/>
      </c>
    </row>
    <row r="745" customFormat="false" ht="15" hidden="false" customHeight="false" outlineLevel="0" collapsed="false">
      <c r="A745" s="24"/>
      <c r="B745" s="25"/>
      <c r="C745" s="25"/>
      <c r="D745" s="25"/>
      <c r="E745" s="6"/>
      <c r="F745" s="26" t="str">
        <f aca="false">IF(A745="","",MONTH(A745))</f>
        <v/>
      </c>
      <c r="G745" s="26" t="str">
        <f aca="false">IF(A745="","",YEAR(A745))</f>
        <v/>
      </c>
      <c r="H745" s="11" t="str">
        <f aca="false">IF(OR(C745="",B745&lt;&gt;"Pengeluaran"),"",IFERROR(INDEX(Dashboard!$B$18:$B$39,MATCH(C745,Dashboard!$A$18:$A$39,0)),""))</f>
        <v/>
      </c>
    </row>
    <row r="746" customFormat="false" ht="15" hidden="false" customHeight="false" outlineLevel="0" collapsed="false">
      <c r="A746" s="24"/>
      <c r="B746" s="25"/>
      <c r="C746" s="25"/>
      <c r="D746" s="25"/>
      <c r="E746" s="6"/>
      <c r="F746" s="26" t="str">
        <f aca="false">IF(A746="","",MONTH(A746))</f>
        <v/>
      </c>
      <c r="G746" s="26" t="str">
        <f aca="false">IF(A746="","",YEAR(A746))</f>
        <v/>
      </c>
      <c r="H746" s="11" t="str">
        <f aca="false">IF(OR(C746="",B746&lt;&gt;"Pengeluaran"),"",IFERROR(INDEX(Dashboard!$B$18:$B$39,MATCH(C746,Dashboard!$A$18:$A$39,0)),""))</f>
        <v/>
      </c>
    </row>
    <row r="747" customFormat="false" ht="15" hidden="false" customHeight="false" outlineLevel="0" collapsed="false">
      <c r="A747" s="24"/>
      <c r="B747" s="25"/>
      <c r="C747" s="25"/>
      <c r="D747" s="25"/>
      <c r="E747" s="6"/>
      <c r="F747" s="26" t="str">
        <f aca="false">IF(A747="","",MONTH(A747))</f>
        <v/>
      </c>
      <c r="G747" s="26" t="str">
        <f aca="false">IF(A747="","",YEAR(A747))</f>
        <v/>
      </c>
      <c r="H747" s="11" t="str">
        <f aca="false">IF(OR(C747="",B747&lt;&gt;"Pengeluaran"),"",IFERROR(INDEX(Dashboard!$B$18:$B$39,MATCH(C747,Dashboard!$A$18:$A$39,0)),""))</f>
        <v/>
      </c>
    </row>
    <row r="748" customFormat="false" ht="15" hidden="false" customHeight="false" outlineLevel="0" collapsed="false">
      <c r="A748" s="24"/>
      <c r="B748" s="25"/>
      <c r="C748" s="25"/>
      <c r="D748" s="25"/>
      <c r="E748" s="6"/>
      <c r="F748" s="26" t="str">
        <f aca="false">IF(A748="","",MONTH(A748))</f>
        <v/>
      </c>
      <c r="G748" s="26" t="str">
        <f aca="false">IF(A748="","",YEAR(A748))</f>
        <v/>
      </c>
      <c r="H748" s="11" t="str">
        <f aca="false">IF(OR(C748="",B748&lt;&gt;"Pengeluaran"),"",IFERROR(INDEX(Dashboard!$B$18:$B$39,MATCH(C748,Dashboard!$A$18:$A$39,0)),""))</f>
        <v/>
      </c>
    </row>
    <row r="749" customFormat="false" ht="15" hidden="false" customHeight="false" outlineLevel="0" collapsed="false">
      <c r="A749" s="24"/>
      <c r="B749" s="25"/>
      <c r="C749" s="25"/>
      <c r="D749" s="25"/>
      <c r="E749" s="6"/>
      <c r="F749" s="26" t="str">
        <f aca="false">IF(A749="","",MONTH(A749))</f>
        <v/>
      </c>
      <c r="G749" s="26" t="str">
        <f aca="false">IF(A749="","",YEAR(A749))</f>
        <v/>
      </c>
      <c r="H749" s="11" t="str">
        <f aca="false">IF(OR(C749="",B749&lt;&gt;"Pengeluaran"),"",IFERROR(INDEX(Dashboard!$B$18:$B$39,MATCH(C749,Dashboard!$A$18:$A$39,0)),""))</f>
        <v/>
      </c>
    </row>
    <row r="750" customFormat="false" ht="15" hidden="false" customHeight="false" outlineLevel="0" collapsed="false">
      <c r="A750" s="24"/>
      <c r="B750" s="25"/>
      <c r="C750" s="25"/>
      <c r="D750" s="25"/>
      <c r="E750" s="6"/>
      <c r="F750" s="26" t="str">
        <f aca="false">IF(A750="","",MONTH(A750))</f>
        <v/>
      </c>
      <c r="G750" s="26" t="str">
        <f aca="false">IF(A750="","",YEAR(A750))</f>
        <v/>
      </c>
      <c r="H750" s="11" t="str">
        <f aca="false">IF(OR(C750="",B750&lt;&gt;"Pengeluaran"),"",IFERROR(INDEX(Dashboard!$B$18:$B$39,MATCH(C750,Dashboard!$A$18:$A$39,0)),""))</f>
        <v/>
      </c>
    </row>
    <row r="751" customFormat="false" ht="15" hidden="false" customHeight="false" outlineLevel="0" collapsed="false">
      <c r="A751" s="24"/>
      <c r="B751" s="25"/>
      <c r="C751" s="25"/>
      <c r="D751" s="25"/>
      <c r="E751" s="6"/>
      <c r="F751" s="26" t="str">
        <f aca="false">IF(A751="","",MONTH(A751))</f>
        <v/>
      </c>
      <c r="G751" s="26" t="str">
        <f aca="false">IF(A751="","",YEAR(A751))</f>
        <v/>
      </c>
      <c r="H751" s="11" t="str">
        <f aca="false">IF(OR(C751="",B751&lt;&gt;"Pengeluaran"),"",IFERROR(INDEX(Dashboard!$B$18:$B$39,MATCH(C751,Dashboard!$A$18:$A$39,0)),""))</f>
        <v/>
      </c>
    </row>
    <row r="752" customFormat="false" ht="15" hidden="false" customHeight="false" outlineLevel="0" collapsed="false">
      <c r="A752" s="24"/>
      <c r="B752" s="25"/>
      <c r="C752" s="25"/>
      <c r="D752" s="25"/>
      <c r="E752" s="6"/>
      <c r="F752" s="26" t="str">
        <f aca="false">IF(A752="","",MONTH(A752))</f>
        <v/>
      </c>
      <c r="G752" s="26" t="str">
        <f aca="false">IF(A752="","",YEAR(A752))</f>
        <v/>
      </c>
      <c r="H752" s="11" t="str">
        <f aca="false">IF(OR(C752="",B752&lt;&gt;"Pengeluaran"),"",IFERROR(INDEX(Dashboard!$B$18:$B$39,MATCH(C752,Dashboard!$A$18:$A$39,0)),""))</f>
        <v/>
      </c>
    </row>
    <row r="753" customFormat="false" ht="15" hidden="false" customHeight="false" outlineLevel="0" collapsed="false">
      <c r="A753" s="24"/>
      <c r="B753" s="25"/>
      <c r="C753" s="25"/>
      <c r="D753" s="25"/>
      <c r="E753" s="6"/>
      <c r="F753" s="26" t="str">
        <f aca="false">IF(A753="","",MONTH(A753))</f>
        <v/>
      </c>
      <c r="G753" s="26" t="str">
        <f aca="false">IF(A753="","",YEAR(A753))</f>
        <v/>
      </c>
      <c r="H753" s="11" t="str">
        <f aca="false">IF(OR(C753="",B753&lt;&gt;"Pengeluaran"),"",IFERROR(INDEX(Dashboard!$B$18:$B$39,MATCH(C753,Dashboard!$A$18:$A$39,0)),""))</f>
        <v/>
      </c>
    </row>
    <row r="754" customFormat="false" ht="15" hidden="false" customHeight="false" outlineLevel="0" collapsed="false">
      <c r="A754" s="24"/>
      <c r="B754" s="25"/>
      <c r="C754" s="25"/>
      <c r="D754" s="25"/>
      <c r="E754" s="6"/>
      <c r="F754" s="26" t="str">
        <f aca="false">IF(A754="","",MONTH(A754))</f>
        <v/>
      </c>
      <c r="G754" s="26" t="str">
        <f aca="false">IF(A754="","",YEAR(A754))</f>
        <v/>
      </c>
      <c r="H754" s="11" t="str">
        <f aca="false">IF(OR(C754="",B754&lt;&gt;"Pengeluaran"),"",IFERROR(INDEX(Dashboard!$B$18:$B$39,MATCH(C754,Dashboard!$A$18:$A$39,0)),""))</f>
        <v/>
      </c>
    </row>
    <row r="755" customFormat="false" ht="15" hidden="false" customHeight="false" outlineLevel="0" collapsed="false">
      <c r="A755" s="24"/>
      <c r="B755" s="25"/>
      <c r="C755" s="25"/>
      <c r="D755" s="25"/>
      <c r="E755" s="6"/>
      <c r="F755" s="26" t="str">
        <f aca="false">IF(A755="","",MONTH(A755))</f>
        <v/>
      </c>
      <c r="G755" s="26" t="str">
        <f aca="false">IF(A755="","",YEAR(A755))</f>
        <v/>
      </c>
      <c r="H755" s="11" t="str">
        <f aca="false">IF(OR(C755="",B755&lt;&gt;"Pengeluaran"),"",IFERROR(INDEX(Dashboard!$B$18:$B$39,MATCH(C755,Dashboard!$A$18:$A$39,0)),""))</f>
        <v/>
      </c>
    </row>
    <row r="756" customFormat="false" ht="15" hidden="false" customHeight="false" outlineLevel="0" collapsed="false">
      <c r="A756" s="24"/>
      <c r="B756" s="25"/>
      <c r="C756" s="25"/>
      <c r="D756" s="25"/>
      <c r="E756" s="6"/>
      <c r="F756" s="26" t="str">
        <f aca="false">IF(A756="","",MONTH(A756))</f>
        <v/>
      </c>
      <c r="G756" s="26" t="str">
        <f aca="false">IF(A756="","",YEAR(A756))</f>
        <v/>
      </c>
      <c r="H756" s="11" t="str">
        <f aca="false">IF(OR(C756="",B756&lt;&gt;"Pengeluaran"),"",IFERROR(INDEX(Dashboard!$B$18:$B$39,MATCH(C756,Dashboard!$A$18:$A$39,0)),""))</f>
        <v/>
      </c>
    </row>
    <row r="757" customFormat="false" ht="15" hidden="false" customHeight="false" outlineLevel="0" collapsed="false">
      <c r="A757" s="24"/>
      <c r="B757" s="25"/>
      <c r="C757" s="25"/>
      <c r="D757" s="25"/>
      <c r="E757" s="6"/>
      <c r="F757" s="26" t="str">
        <f aca="false">IF(A757="","",MONTH(A757))</f>
        <v/>
      </c>
      <c r="G757" s="26" t="str">
        <f aca="false">IF(A757="","",YEAR(A757))</f>
        <v/>
      </c>
      <c r="H757" s="11" t="str">
        <f aca="false">IF(OR(C757="",B757&lt;&gt;"Pengeluaran"),"",IFERROR(INDEX(Dashboard!$B$18:$B$39,MATCH(C757,Dashboard!$A$18:$A$39,0)),""))</f>
        <v/>
      </c>
    </row>
    <row r="758" customFormat="false" ht="15" hidden="false" customHeight="false" outlineLevel="0" collapsed="false">
      <c r="A758" s="24"/>
      <c r="B758" s="25"/>
      <c r="C758" s="25"/>
      <c r="D758" s="25"/>
      <c r="E758" s="6"/>
      <c r="F758" s="26" t="str">
        <f aca="false">IF(A758="","",MONTH(A758))</f>
        <v/>
      </c>
      <c r="G758" s="26" t="str">
        <f aca="false">IF(A758="","",YEAR(A758))</f>
        <v/>
      </c>
      <c r="H758" s="11" t="str">
        <f aca="false">IF(OR(C758="",B758&lt;&gt;"Pengeluaran"),"",IFERROR(INDEX(Dashboard!$B$18:$B$39,MATCH(C758,Dashboard!$A$18:$A$39,0)),""))</f>
        <v/>
      </c>
    </row>
    <row r="759" customFormat="false" ht="15" hidden="false" customHeight="false" outlineLevel="0" collapsed="false">
      <c r="A759" s="24"/>
      <c r="B759" s="25"/>
      <c r="C759" s="25"/>
      <c r="D759" s="25"/>
      <c r="E759" s="6"/>
      <c r="F759" s="26" t="str">
        <f aca="false">IF(A759="","",MONTH(A759))</f>
        <v/>
      </c>
      <c r="G759" s="26" t="str">
        <f aca="false">IF(A759="","",YEAR(A759))</f>
        <v/>
      </c>
      <c r="H759" s="11" t="str">
        <f aca="false">IF(OR(C759="",B759&lt;&gt;"Pengeluaran"),"",IFERROR(INDEX(Dashboard!$B$18:$B$39,MATCH(C759,Dashboard!$A$18:$A$39,0)),""))</f>
        <v/>
      </c>
    </row>
    <row r="760" customFormat="false" ht="15" hidden="false" customHeight="false" outlineLevel="0" collapsed="false">
      <c r="A760" s="24"/>
      <c r="B760" s="25"/>
      <c r="C760" s="25"/>
      <c r="D760" s="25"/>
      <c r="E760" s="6"/>
      <c r="F760" s="26" t="str">
        <f aca="false">IF(A760="","",MONTH(A760))</f>
        <v/>
      </c>
      <c r="G760" s="26" t="str">
        <f aca="false">IF(A760="","",YEAR(A760))</f>
        <v/>
      </c>
      <c r="H760" s="11" t="str">
        <f aca="false">IF(OR(C760="",B760&lt;&gt;"Pengeluaran"),"",IFERROR(INDEX(Dashboard!$B$18:$B$39,MATCH(C760,Dashboard!$A$18:$A$39,0)),""))</f>
        <v/>
      </c>
    </row>
    <row r="761" customFormat="false" ht="15" hidden="false" customHeight="false" outlineLevel="0" collapsed="false">
      <c r="A761" s="24"/>
      <c r="B761" s="25"/>
      <c r="C761" s="25"/>
      <c r="D761" s="25"/>
      <c r="E761" s="6"/>
      <c r="F761" s="26" t="str">
        <f aca="false">IF(A761="","",MONTH(A761))</f>
        <v/>
      </c>
      <c r="G761" s="26" t="str">
        <f aca="false">IF(A761="","",YEAR(A761))</f>
        <v/>
      </c>
      <c r="H761" s="11" t="str">
        <f aca="false">IF(OR(C761="",B761&lt;&gt;"Pengeluaran"),"",IFERROR(INDEX(Dashboard!$B$18:$B$39,MATCH(C761,Dashboard!$A$18:$A$39,0)),""))</f>
        <v/>
      </c>
    </row>
    <row r="762" customFormat="false" ht="15" hidden="false" customHeight="false" outlineLevel="0" collapsed="false">
      <c r="A762" s="24"/>
      <c r="B762" s="25"/>
      <c r="C762" s="25"/>
      <c r="D762" s="25"/>
      <c r="E762" s="6"/>
      <c r="F762" s="26" t="str">
        <f aca="false">IF(A762="","",MONTH(A762))</f>
        <v/>
      </c>
      <c r="G762" s="26" t="str">
        <f aca="false">IF(A762="","",YEAR(A762))</f>
        <v/>
      </c>
      <c r="H762" s="11" t="str">
        <f aca="false">IF(OR(C762="",B762&lt;&gt;"Pengeluaran"),"",IFERROR(INDEX(Dashboard!$B$18:$B$39,MATCH(C762,Dashboard!$A$18:$A$39,0)),""))</f>
        <v/>
      </c>
    </row>
    <row r="763" customFormat="false" ht="15" hidden="false" customHeight="false" outlineLevel="0" collapsed="false">
      <c r="A763" s="24"/>
      <c r="B763" s="25"/>
      <c r="C763" s="25"/>
      <c r="D763" s="25"/>
      <c r="E763" s="6"/>
      <c r="F763" s="26" t="str">
        <f aca="false">IF(A763="","",MONTH(A763))</f>
        <v/>
      </c>
      <c r="G763" s="26" t="str">
        <f aca="false">IF(A763="","",YEAR(A763))</f>
        <v/>
      </c>
      <c r="H763" s="11" t="str">
        <f aca="false">IF(OR(C763="",B763&lt;&gt;"Pengeluaran"),"",IFERROR(INDEX(Dashboard!$B$18:$B$39,MATCH(C763,Dashboard!$A$18:$A$39,0)),""))</f>
        <v/>
      </c>
    </row>
    <row r="764" customFormat="false" ht="15" hidden="false" customHeight="false" outlineLevel="0" collapsed="false">
      <c r="A764" s="24"/>
      <c r="B764" s="25"/>
      <c r="C764" s="25"/>
      <c r="D764" s="25"/>
      <c r="E764" s="6"/>
      <c r="F764" s="26" t="str">
        <f aca="false">IF(A764="","",MONTH(A764))</f>
        <v/>
      </c>
      <c r="G764" s="26" t="str">
        <f aca="false">IF(A764="","",YEAR(A764))</f>
        <v/>
      </c>
      <c r="H764" s="11" t="str">
        <f aca="false">IF(OR(C764="",B764&lt;&gt;"Pengeluaran"),"",IFERROR(INDEX(Dashboard!$B$18:$B$39,MATCH(C764,Dashboard!$A$18:$A$39,0)),""))</f>
        <v/>
      </c>
    </row>
    <row r="765" customFormat="false" ht="15" hidden="false" customHeight="false" outlineLevel="0" collapsed="false">
      <c r="A765" s="24"/>
      <c r="B765" s="25"/>
      <c r="C765" s="25"/>
      <c r="D765" s="25"/>
      <c r="E765" s="6"/>
      <c r="F765" s="26" t="str">
        <f aca="false">IF(A765="","",MONTH(A765))</f>
        <v/>
      </c>
      <c r="G765" s="26" t="str">
        <f aca="false">IF(A765="","",YEAR(A765))</f>
        <v/>
      </c>
      <c r="H765" s="11" t="str">
        <f aca="false">IF(OR(C765="",B765&lt;&gt;"Pengeluaran"),"",IFERROR(INDEX(Dashboard!$B$18:$B$39,MATCH(C765,Dashboard!$A$18:$A$39,0)),""))</f>
        <v/>
      </c>
    </row>
    <row r="766" customFormat="false" ht="15" hidden="false" customHeight="false" outlineLevel="0" collapsed="false">
      <c r="A766" s="24"/>
      <c r="B766" s="25"/>
      <c r="C766" s="25"/>
      <c r="D766" s="25"/>
      <c r="E766" s="6"/>
      <c r="F766" s="26" t="str">
        <f aca="false">IF(A766="","",MONTH(A766))</f>
        <v/>
      </c>
      <c r="G766" s="26" t="str">
        <f aca="false">IF(A766="","",YEAR(A766))</f>
        <v/>
      </c>
      <c r="H766" s="11" t="str">
        <f aca="false">IF(OR(C766="",B766&lt;&gt;"Pengeluaran"),"",IFERROR(INDEX(Dashboard!$B$18:$B$39,MATCH(C766,Dashboard!$A$18:$A$39,0)),""))</f>
        <v/>
      </c>
    </row>
    <row r="767" customFormat="false" ht="15" hidden="false" customHeight="false" outlineLevel="0" collapsed="false">
      <c r="A767" s="24"/>
      <c r="B767" s="25"/>
      <c r="C767" s="25"/>
      <c r="D767" s="25"/>
      <c r="E767" s="6"/>
      <c r="F767" s="26" t="str">
        <f aca="false">IF(A767="","",MONTH(A767))</f>
        <v/>
      </c>
      <c r="G767" s="26" t="str">
        <f aca="false">IF(A767="","",YEAR(A767))</f>
        <v/>
      </c>
      <c r="H767" s="11" t="str">
        <f aca="false">IF(OR(C767="",B767&lt;&gt;"Pengeluaran"),"",IFERROR(INDEX(Dashboard!$B$18:$B$39,MATCH(C767,Dashboard!$A$18:$A$39,0)),""))</f>
        <v/>
      </c>
    </row>
    <row r="768" customFormat="false" ht="15" hidden="false" customHeight="false" outlineLevel="0" collapsed="false">
      <c r="A768" s="24"/>
      <c r="B768" s="25"/>
      <c r="C768" s="25"/>
      <c r="D768" s="25"/>
      <c r="E768" s="6"/>
      <c r="F768" s="26" t="str">
        <f aca="false">IF(A768="","",MONTH(A768))</f>
        <v/>
      </c>
      <c r="G768" s="26" t="str">
        <f aca="false">IF(A768="","",YEAR(A768))</f>
        <v/>
      </c>
      <c r="H768" s="11" t="str">
        <f aca="false">IF(OR(C768="",B768&lt;&gt;"Pengeluaran"),"",IFERROR(INDEX(Dashboard!$B$18:$B$39,MATCH(C768,Dashboard!$A$18:$A$39,0)),""))</f>
        <v/>
      </c>
    </row>
    <row r="769" customFormat="false" ht="15" hidden="false" customHeight="false" outlineLevel="0" collapsed="false">
      <c r="A769" s="24"/>
      <c r="B769" s="25"/>
      <c r="C769" s="25"/>
      <c r="D769" s="25"/>
      <c r="E769" s="6"/>
      <c r="F769" s="26" t="str">
        <f aca="false">IF(A769="","",MONTH(A769))</f>
        <v/>
      </c>
      <c r="G769" s="26" t="str">
        <f aca="false">IF(A769="","",YEAR(A769))</f>
        <v/>
      </c>
      <c r="H769" s="11" t="str">
        <f aca="false">IF(OR(C769="",B769&lt;&gt;"Pengeluaran"),"",IFERROR(INDEX(Dashboard!$B$18:$B$39,MATCH(C769,Dashboard!$A$18:$A$39,0)),""))</f>
        <v/>
      </c>
    </row>
    <row r="770" customFormat="false" ht="15" hidden="false" customHeight="false" outlineLevel="0" collapsed="false">
      <c r="A770" s="24"/>
      <c r="B770" s="25"/>
      <c r="C770" s="25"/>
      <c r="D770" s="25"/>
      <c r="E770" s="6"/>
      <c r="F770" s="26" t="str">
        <f aca="false">IF(A770="","",MONTH(A770))</f>
        <v/>
      </c>
      <c r="G770" s="26" t="str">
        <f aca="false">IF(A770="","",YEAR(A770))</f>
        <v/>
      </c>
      <c r="H770" s="11" t="str">
        <f aca="false">IF(OR(C770="",B770&lt;&gt;"Pengeluaran"),"",IFERROR(INDEX(Dashboard!$B$18:$B$39,MATCH(C770,Dashboard!$A$18:$A$39,0)),""))</f>
        <v/>
      </c>
    </row>
    <row r="771" customFormat="false" ht="15" hidden="false" customHeight="false" outlineLevel="0" collapsed="false">
      <c r="A771" s="24"/>
      <c r="B771" s="25"/>
      <c r="C771" s="25"/>
      <c r="D771" s="25"/>
      <c r="E771" s="6"/>
      <c r="F771" s="26" t="str">
        <f aca="false">IF(A771="","",MONTH(A771))</f>
        <v/>
      </c>
      <c r="G771" s="26" t="str">
        <f aca="false">IF(A771="","",YEAR(A771))</f>
        <v/>
      </c>
      <c r="H771" s="11" t="str">
        <f aca="false">IF(OR(C771="",B771&lt;&gt;"Pengeluaran"),"",IFERROR(INDEX(Dashboard!$B$18:$B$39,MATCH(C771,Dashboard!$A$18:$A$39,0)),""))</f>
        <v/>
      </c>
    </row>
    <row r="772" customFormat="false" ht="15" hidden="false" customHeight="false" outlineLevel="0" collapsed="false">
      <c r="A772" s="24"/>
      <c r="B772" s="25"/>
      <c r="C772" s="25"/>
      <c r="D772" s="25"/>
      <c r="E772" s="6"/>
      <c r="F772" s="26" t="str">
        <f aca="false">IF(A772="","",MONTH(A772))</f>
        <v/>
      </c>
      <c r="G772" s="26" t="str">
        <f aca="false">IF(A772="","",YEAR(A772))</f>
        <v/>
      </c>
      <c r="H772" s="11" t="str">
        <f aca="false">IF(OR(C772="",B772&lt;&gt;"Pengeluaran"),"",IFERROR(INDEX(Dashboard!$B$18:$B$39,MATCH(C772,Dashboard!$A$18:$A$39,0)),""))</f>
        <v/>
      </c>
    </row>
    <row r="773" customFormat="false" ht="15" hidden="false" customHeight="false" outlineLevel="0" collapsed="false">
      <c r="A773" s="24"/>
      <c r="B773" s="25"/>
      <c r="C773" s="25"/>
      <c r="D773" s="25"/>
      <c r="E773" s="6"/>
      <c r="F773" s="26" t="str">
        <f aca="false">IF(A773="","",MONTH(A773))</f>
        <v/>
      </c>
      <c r="G773" s="26" t="str">
        <f aca="false">IF(A773="","",YEAR(A773))</f>
        <v/>
      </c>
      <c r="H773" s="11" t="str">
        <f aca="false">IF(OR(C773="",B773&lt;&gt;"Pengeluaran"),"",IFERROR(INDEX(Dashboard!$B$18:$B$39,MATCH(C773,Dashboard!$A$18:$A$39,0)),""))</f>
        <v/>
      </c>
    </row>
    <row r="774" customFormat="false" ht="15" hidden="false" customHeight="false" outlineLevel="0" collapsed="false">
      <c r="A774" s="24"/>
      <c r="B774" s="25"/>
      <c r="C774" s="25"/>
      <c r="D774" s="25"/>
      <c r="E774" s="6"/>
      <c r="F774" s="26" t="str">
        <f aca="false">IF(A774="","",MONTH(A774))</f>
        <v/>
      </c>
      <c r="G774" s="26" t="str">
        <f aca="false">IF(A774="","",YEAR(A774))</f>
        <v/>
      </c>
      <c r="H774" s="11" t="str">
        <f aca="false">IF(OR(C774="",B774&lt;&gt;"Pengeluaran"),"",IFERROR(INDEX(Dashboard!$B$18:$B$39,MATCH(C774,Dashboard!$A$18:$A$39,0)),""))</f>
        <v/>
      </c>
    </row>
    <row r="775" customFormat="false" ht="15" hidden="false" customHeight="false" outlineLevel="0" collapsed="false">
      <c r="A775" s="24"/>
      <c r="B775" s="25"/>
      <c r="C775" s="25"/>
      <c r="D775" s="25"/>
      <c r="E775" s="6"/>
      <c r="F775" s="26" t="str">
        <f aca="false">IF(A775="","",MONTH(A775))</f>
        <v/>
      </c>
      <c r="G775" s="26" t="str">
        <f aca="false">IF(A775="","",YEAR(A775))</f>
        <v/>
      </c>
      <c r="H775" s="11" t="str">
        <f aca="false">IF(OR(C775="",B775&lt;&gt;"Pengeluaran"),"",IFERROR(INDEX(Dashboard!$B$18:$B$39,MATCH(C775,Dashboard!$A$18:$A$39,0)),""))</f>
        <v/>
      </c>
    </row>
    <row r="776" customFormat="false" ht="15" hidden="false" customHeight="false" outlineLevel="0" collapsed="false">
      <c r="A776" s="24"/>
      <c r="B776" s="25"/>
      <c r="C776" s="25"/>
      <c r="D776" s="25"/>
      <c r="E776" s="6"/>
      <c r="F776" s="26" t="str">
        <f aca="false">IF(A776="","",MONTH(A776))</f>
        <v/>
      </c>
      <c r="G776" s="26" t="str">
        <f aca="false">IF(A776="","",YEAR(A776))</f>
        <v/>
      </c>
      <c r="H776" s="11" t="str">
        <f aca="false">IF(OR(C776="",B776&lt;&gt;"Pengeluaran"),"",IFERROR(INDEX(Dashboard!$B$18:$B$39,MATCH(C776,Dashboard!$A$18:$A$39,0)),""))</f>
        <v/>
      </c>
    </row>
    <row r="777" customFormat="false" ht="15" hidden="false" customHeight="false" outlineLevel="0" collapsed="false">
      <c r="A777" s="24"/>
      <c r="B777" s="25"/>
      <c r="C777" s="25"/>
      <c r="D777" s="25"/>
      <c r="E777" s="6"/>
      <c r="F777" s="26" t="str">
        <f aca="false">IF(A777="","",MONTH(A777))</f>
        <v/>
      </c>
      <c r="G777" s="26" t="str">
        <f aca="false">IF(A777="","",YEAR(A777))</f>
        <v/>
      </c>
      <c r="H777" s="11" t="str">
        <f aca="false">IF(OR(C777="",B777&lt;&gt;"Pengeluaran"),"",IFERROR(INDEX(Dashboard!$B$18:$B$39,MATCH(C777,Dashboard!$A$18:$A$39,0)),""))</f>
        <v/>
      </c>
    </row>
    <row r="778" customFormat="false" ht="15" hidden="false" customHeight="false" outlineLevel="0" collapsed="false">
      <c r="A778" s="24"/>
      <c r="B778" s="25"/>
      <c r="C778" s="25"/>
      <c r="D778" s="25"/>
      <c r="E778" s="6"/>
      <c r="F778" s="26" t="str">
        <f aca="false">IF(A778="","",MONTH(A778))</f>
        <v/>
      </c>
      <c r="G778" s="26" t="str">
        <f aca="false">IF(A778="","",YEAR(A778))</f>
        <v/>
      </c>
      <c r="H778" s="11" t="str">
        <f aca="false">IF(OR(C778="",B778&lt;&gt;"Pengeluaran"),"",IFERROR(INDEX(Dashboard!$B$18:$B$39,MATCH(C778,Dashboard!$A$18:$A$39,0)),""))</f>
        <v/>
      </c>
    </row>
    <row r="779" customFormat="false" ht="15" hidden="false" customHeight="false" outlineLevel="0" collapsed="false">
      <c r="A779" s="24"/>
      <c r="B779" s="25"/>
      <c r="C779" s="25"/>
      <c r="D779" s="25"/>
      <c r="E779" s="6"/>
      <c r="F779" s="26" t="str">
        <f aca="false">IF(A779="","",MONTH(A779))</f>
        <v/>
      </c>
      <c r="G779" s="26" t="str">
        <f aca="false">IF(A779="","",YEAR(A779))</f>
        <v/>
      </c>
      <c r="H779" s="11" t="str">
        <f aca="false">IF(OR(C779="",B779&lt;&gt;"Pengeluaran"),"",IFERROR(INDEX(Dashboard!$B$18:$B$39,MATCH(C779,Dashboard!$A$18:$A$39,0)),""))</f>
        <v/>
      </c>
    </row>
    <row r="780" customFormat="false" ht="15" hidden="false" customHeight="false" outlineLevel="0" collapsed="false">
      <c r="A780" s="24"/>
      <c r="B780" s="25"/>
      <c r="C780" s="25"/>
      <c r="D780" s="25"/>
      <c r="E780" s="6"/>
      <c r="F780" s="26" t="str">
        <f aca="false">IF(A780="","",MONTH(A780))</f>
        <v/>
      </c>
      <c r="G780" s="26" t="str">
        <f aca="false">IF(A780="","",YEAR(A780))</f>
        <v/>
      </c>
      <c r="H780" s="11" t="str">
        <f aca="false">IF(OR(C780="",B780&lt;&gt;"Pengeluaran"),"",IFERROR(INDEX(Dashboard!$B$18:$B$39,MATCH(C780,Dashboard!$A$18:$A$39,0)),""))</f>
        <v/>
      </c>
    </row>
    <row r="781" customFormat="false" ht="15" hidden="false" customHeight="false" outlineLevel="0" collapsed="false">
      <c r="A781" s="24"/>
      <c r="B781" s="25"/>
      <c r="C781" s="25"/>
      <c r="D781" s="25"/>
      <c r="E781" s="6"/>
      <c r="F781" s="26" t="str">
        <f aca="false">IF(A781="","",MONTH(A781))</f>
        <v/>
      </c>
      <c r="G781" s="26" t="str">
        <f aca="false">IF(A781="","",YEAR(A781))</f>
        <v/>
      </c>
      <c r="H781" s="11" t="str">
        <f aca="false">IF(OR(C781="",B781&lt;&gt;"Pengeluaran"),"",IFERROR(INDEX(Dashboard!$B$18:$B$39,MATCH(C781,Dashboard!$A$18:$A$39,0)),""))</f>
        <v/>
      </c>
    </row>
    <row r="782" customFormat="false" ht="15" hidden="false" customHeight="false" outlineLevel="0" collapsed="false">
      <c r="A782" s="24"/>
      <c r="B782" s="25"/>
      <c r="C782" s="25"/>
      <c r="D782" s="25"/>
      <c r="E782" s="6"/>
      <c r="F782" s="26" t="str">
        <f aca="false">IF(A782="","",MONTH(A782))</f>
        <v/>
      </c>
      <c r="G782" s="26" t="str">
        <f aca="false">IF(A782="","",YEAR(A782))</f>
        <v/>
      </c>
      <c r="H782" s="11" t="str">
        <f aca="false">IF(OR(C782="",B782&lt;&gt;"Pengeluaran"),"",IFERROR(INDEX(Dashboard!$B$18:$B$39,MATCH(C782,Dashboard!$A$18:$A$39,0)),""))</f>
        <v/>
      </c>
    </row>
    <row r="783" customFormat="false" ht="15" hidden="false" customHeight="false" outlineLevel="0" collapsed="false">
      <c r="A783" s="24"/>
      <c r="B783" s="25"/>
      <c r="C783" s="25"/>
      <c r="D783" s="25"/>
      <c r="E783" s="6"/>
      <c r="F783" s="26" t="str">
        <f aca="false">IF(A783="","",MONTH(A783))</f>
        <v/>
      </c>
      <c r="G783" s="26" t="str">
        <f aca="false">IF(A783="","",YEAR(A783))</f>
        <v/>
      </c>
      <c r="H783" s="11" t="str">
        <f aca="false">IF(OR(C783="",B783&lt;&gt;"Pengeluaran"),"",IFERROR(INDEX(Dashboard!$B$18:$B$39,MATCH(C783,Dashboard!$A$18:$A$39,0)),""))</f>
        <v/>
      </c>
    </row>
    <row r="784" customFormat="false" ht="15" hidden="false" customHeight="false" outlineLevel="0" collapsed="false">
      <c r="A784" s="24"/>
      <c r="B784" s="25"/>
      <c r="C784" s="25"/>
      <c r="D784" s="25"/>
      <c r="E784" s="6"/>
      <c r="F784" s="26" t="str">
        <f aca="false">IF(A784="","",MONTH(A784))</f>
        <v/>
      </c>
      <c r="G784" s="26" t="str">
        <f aca="false">IF(A784="","",YEAR(A784))</f>
        <v/>
      </c>
      <c r="H784" s="11" t="str">
        <f aca="false">IF(OR(C784="",B784&lt;&gt;"Pengeluaran"),"",IFERROR(INDEX(Dashboard!$B$18:$B$39,MATCH(C784,Dashboard!$A$18:$A$39,0)),""))</f>
        <v/>
      </c>
    </row>
    <row r="785" customFormat="false" ht="15" hidden="false" customHeight="false" outlineLevel="0" collapsed="false">
      <c r="A785" s="24"/>
      <c r="B785" s="25"/>
      <c r="C785" s="25"/>
      <c r="D785" s="25"/>
      <c r="E785" s="6"/>
      <c r="F785" s="26" t="str">
        <f aca="false">IF(A785="","",MONTH(A785))</f>
        <v/>
      </c>
      <c r="G785" s="26" t="str">
        <f aca="false">IF(A785="","",YEAR(A785))</f>
        <v/>
      </c>
      <c r="H785" s="11" t="str">
        <f aca="false">IF(OR(C785="",B785&lt;&gt;"Pengeluaran"),"",IFERROR(INDEX(Dashboard!$B$18:$B$39,MATCH(C785,Dashboard!$A$18:$A$39,0)),""))</f>
        <v/>
      </c>
    </row>
    <row r="786" customFormat="false" ht="15" hidden="false" customHeight="false" outlineLevel="0" collapsed="false">
      <c r="A786" s="24"/>
      <c r="B786" s="25"/>
      <c r="C786" s="25"/>
      <c r="D786" s="25"/>
      <c r="E786" s="6"/>
      <c r="F786" s="26" t="str">
        <f aca="false">IF(A786="","",MONTH(A786))</f>
        <v/>
      </c>
      <c r="G786" s="26" t="str">
        <f aca="false">IF(A786="","",YEAR(A786))</f>
        <v/>
      </c>
      <c r="H786" s="11" t="str">
        <f aca="false">IF(OR(C786="",B786&lt;&gt;"Pengeluaran"),"",IFERROR(INDEX(Dashboard!$B$18:$B$39,MATCH(C786,Dashboard!$A$18:$A$39,0)),""))</f>
        <v/>
      </c>
    </row>
    <row r="787" customFormat="false" ht="15" hidden="false" customHeight="false" outlineLevel="0" collapsed="false">
      <c r="A787" s="24"/>
      <c r="B787" s="25"/>
      <c r="C787" s="25"/>
      <c r="D787" s="25"/>
      <c r="E787" s="6"/>
      <c r="F787" s="26" t="str">
        <f aca="false">IF(A787="","",MONTH(A787))</f>
        <v/>
      </c>
      <c r="G787" s="26" t="str">
        <f aca="false">IF(A787="","",YEAR(A787))</f>
        <v/>
      </c>
      <c r="H787" s="11" t="str">
        <f aca="false">IF(OR(C787="",B787&lt;&gt;"Pengeluaran"),"",IFERROR(INDEX(Dashboard!$B$18:$B$39,MATCH(C787,Dashboard!$A$18:$A$39,0)),""))</f>
        <v/>
      </c>
    </row>
    <row r="788" customFormat="false" ht="15" hidden="false" customHeight="false" outlineLevel="0" collapsed="false">
      <c r="A788" s="24"/>
      <c r="B788" s="25"/>
      <c r="C788" s="25"/>
      <c r="D788" s="25"/>
      <c r="E788" s="6"/>
      <c r="F788" s="26" t="str">
        <f aca="false">IF(A788="","",MONTH(A788))</f>
        <v/>
      </c>
      <c r="G788" s="26" t="str">
        <f aca="false">IF(A788="","",YEAR(A788))</f>
        <v/>
      </c>
      <c r="H788" s="11" t="str">
        <f aca="false">IF(OR(C788="",B788&lt;&gt;"Pengeluaran"),"",IFERROR(INDEX(Dashboard!$B$18:$B$39,MATCH(C788,Dashboard!$A$18:$A$39,0)),""))</f>
        <v/>
      </c>
    </row>
    <row r="789" customFormat="false" ht="15" hidden="false" customHeight="false" outlineLevel="0" collapsed="false">
      <c r="A789" s="24"/>
      <c r="B789" s="25"/>
      <c r="C789" s="25"/>
      <c r="D789" s="25"/>
      <c r="E789" s="6"/>
      <c r="F789" s="26" t="str">
        <f aca="false">IF(A789="","",MONTH(A789))</f>
        <v/>
      </c>
      <c r="G789" s="26" t="str">
        <f aca="false">IF(A789="","",YEAR(A789))</f>
        <v/>
      </c>
      <c r="H789" s="11" t="str">
        <f aca="false">IF(OR(C789="",B789&lt;&gt;"Pengeluaran"),"",IFERROR(INDEX(Dashboard!$B$18:$B$39,MATCH(C789,Dashboard!$A$18:$A$39,0)),""))</f>
        <v/>
      </c>
    </row>
    <row r="790" customFormat="false" ht="15" hidden="false" customHeight="false" outlineLevel="0" collapsed="false">
      <c r="A790" s="24"/>
      <c r="B790" s="25"/>
      <c r="C790" s="25"/>
      <c r="D790" s="25"/>
      <c r="E790" s="6"/>
      <c r="F790" s="26" t="str">
        <f aca="false">IF(A790="","",MONTH(A790))</f>
        <v/>
      </c>
      <c r="G790" s="26" t="str">
        <f aca="false">IF(A790="","",YEAR(A790))</f>
        <v/>
      </c>
      <c r="H790" s="11" t="str">
        <f aca="false">IF(OR(C790="",B790&lt;&gt;"Pengeluaran"),"",IFERROR(INDEX(Dashboard!$B$18:$B$39,MATCH(C790,Dashboard!$A$18:$A$39,0)),""))</f>
        <v/>
      </c>
    </row>
    <row r="791" customFormat="false" ht="15" hidden="false" customHeight="false" outlineLevel="0" collapsed="false">
      <c r="A791" s="24"/>
      <c r="B791" s="25"/>
      <c r="C791" s="25"/>
      <c r="D791" s="25"/>
      <c r="E791" s="6"/>
      <c r="F791" s="26" t="str">
        <f aca="false">IF(A791="","",MONTH(A791))</f>
        <v/>
      </c>
      <c r="G791" s="26" t="str">
        <f aca="false">IF(A791="","",YEAR(A791))</f>
        <v/>
      </c>
      <c r="H791" s="11" t="str">
        <f aca="false">IF(OR(C791="",B791&lt;&gt;"Pengeluaran"),"",IFERROR(INDEX(Dashboard!$B$18:$B$39,MATCH(C791,Dashboard!$A$18:$A$39,0)),""))</f>
        <v/>
      </c>
    </row>
    <row r="792" customFormat="false" ht="15" hidden="false" customHeight="false" outlineLevel="0" collapsed="false">
      <c r="A792" s="24"/>
      <c r="B792" s="25"/>
      <c r="C792" s="25"/>
      <c r="D792" s="25"/>
      <c r="E792" s="6"/>
      <c r="F792" s="26" t="str">
        <f aca="false">IF(A792="","",MONTH(A792))</f>
        <v/>
      </c>
      <c r="G792" s="26" t="str">
        <f aca="false">IF(A792="","",YEAR(A792))</f>
        <v/>
      </c>
      <c r="H792" s="11" t="str">
        <f aca="false">IF(OR(C792="",B792&lt;&gt;"Pengeluaran"),"",IFERROR(INDEX(Dashboard!$B$18:$B$39,MATCH(C792,Dashboard!$A$18:$A$39,0)),""))</f>
        <v/>
      </c>
    </row>
    <row r="793" customFormat="false" ht="15" hidden="false" customHeight="false" outlineLevel="0" collapsed="false">
      <c r="A793" s="24"/>
      <c r="B793" s="25"/>
      <c r="C793" s="25"/>
      <c r="D793" s="25"/>
      <c r="E793" s="6"/>
      <c r="F793" s="26" t="str">
        <f aca="false">IF(A793="","",MONTH(A793))</f>
        <v/>
      </c>
      <c r="G793" s="26" t="str">
        <f aca="false">IF(A793="","",YEAR(A793))</f>
        <v/>
      </c>
      <c r="H793" s="11" t="str">
        <f aca="false">IF(OR(C793="",B793&lt;&gt;"Pengeluaran"),"",IFERROR(INDEX(Dashboard!$B$18:$B$39,MATCH(C793,Dashboard!$A$18:$A$39,0)),""))</f>
        <v/>
      </c>
    </row>
    <row r="794" customFormat="false" ht="15" hidden="false" customHeight="false" outlineLevel="0" collapsed="false">
      <c r="A794" s="24"/>
      <c r="B794" s="25"/>
      <c r="C794" s="25"/>
      <c r="D794" s="25"/>
      <c r="E794" s="6"/>
      <c r="F794" s="26" t="str">
        <f aca="false">IF(A794="","",MONTH(A794))</f>
        <v/>
      </c>
      <c r="G794" s="26" t="str">
        <f aca="false">IF(A794="","",YEAR(A794))</f>
        <v/>
      </c>
      <c r="H794" s="11" t="str">
        <f aca="false">IF(OR(C794="",B794&lt;&gt;"Pengeluaran"),"",IFERROR(INDEX(Dashboard!$B$18:$B$39,MATCH(C794,Dashboard!$A$18:$A$39,0)),""))</f>
        <v/>
      </c>
    </row>
    <row r="795" customFormat="false" ht="15" hidden="false" customHeight="false" outlineLevel="0" collapsed="false">
      <c r="A795" s="24"/>
      <c r="B795" s="25"/>
      <c r="C795" s="25"/>
      <c r="D795" s="25"/>
      <c r="E795" s="6"/>
      <c r="F795" s="26" t="str">
        <f aca="false">IF(A795="","",MONTH(A795))</f>
        <v/>
      </c>
      <c r="G795" s="26" t="str">
        <f aca="false">IF(A795="","",YEAR(A795))</f>
        <v/>
      </c>
      <c r="H795" s="11" t="str">
        <f aca="false">IF(OR(C795="",B795&lt;&gt;"Pengeluaran"),"",IFERROR(INDEX(Dashboard!$B$18:$B$39,MATCH(C795,Dashboard!$A$18:$A$39,0)),""))</f>
        <v/>
      </c>
    </row>
    <row r="796" customFormat="false" ht="15" hidden="false" customHeight="false" outlineLevel="0" collapsed="false">
      <c r="A796" s="24"/>
      <c r="B796" s="25"/>
      <c r="C796" s="25"/>
      <c r="D796" s="25"/>
      <c r="E796" s="6"/>
      <c r="F796" s="26" t="str">
        <f aca="false">IF(A796="","",MONTH(A796))</f>
        <v/>
      </c>
      <c r="G796" s="26" t="str">
        <f aca="false">IF(A796="","",YEAR(A796))</f>
        <v/>
      </c>
      <c r="H796" s="11" t="str">
        <f aca="false">IF(OR(C796="",B796&lt;&gt;"Pengeluaran"),"",IFERROR(INDEX(Dashboard!$B$18:$B$39,MATCH(C796,Dashboard!$A$18:$A$39,0)),""))</f>
        <v/>
      </c>
    </row>
    <row r="797" customFormat="false" ht="15" hidden="false" customHeight="false" outlineLevel="0" collapsed="false">
      <c r="A797" s="24"/>
      <c r="B797" s="25"/>
      <c r="C797" s="25"/>
      <c r="D797" s="25"/>
      <c r="E797" s="6"/>
      <c r="F797" s="26" t="str">
        <f aca="false">IF(A797="","",MONTH(A797))</f>
        <v/>
      </c>
      <c r="G797" s="26" t="str">
        <f aca="false">IF(A797="","",YEAR(A797))</f>
        <v/>
      </c>
      <c r="H797" s="11" t="str">
        <f aca="false">IF(OR(C797="",B797&lt;&gt;"Pengeluaran"),"",IFERROR(INDEX(Dashboard!$B$18:$B$39,MATCH(C797,Dashboard!$A$18:$A$39,0)),""))</f>
        <v/>
      </c>
    </row>
    <row r="798" customFormat="false" ht="15" hidden="false" customHeight="false" outlineLevel="0" collapsed="false">
      <c r="A798" s="24"/>
      <c r="B798" s="25"/>
      <c r="C798" s="25"/>
      <c r="D798" s="25"/>
      <c r="E798" s="6"/>
      <c r="F798" s="26" t="str">
        <f aca="false">IF(A798="","",MONTH(A798))</f>
        <v/>
      </c>
      <c r="G798" s="26" t="str">
        <f aca="false">IF(A798="","",YEAR(A798))</f>
        <v/>
      </c>
      <c r="H798" s="11" t="str">
        <f aca="false">IF(OR(C798="",B798&lt;&gt;"Pengeluaran"),"",IFERROR(INDEX(Dashboard!$B$18:$B$39,MATCH(C798,Dashboard!$A$18:$A$39,0)),""))</f>
        <v/>
      </c>
    </row>
    <row r="799" customFormat="false" ht="15" hidden="false" customHeight="false" outlineLevel="0" collapsed="false">
      <c r="A799" s="24"/>
      <c r="B799" s="25"/>
      <c r="C799" s="25"/>
      <c r="D799" s="25"/>
      <c r="E799" s="6"/>
      <c r="F799" s="26" t="str">
        <f aca="false">IF(A799="","",MONTH(A799))</f>
        <v/>
      </c>
      <c r="G799" s="26" t="str">
        <f aca="false">IF(A799="","",YEAR(A799))</f>
        <v/>
      </c>
      <c r="H799" s="11" t="str">
        <f aca="false">IF(OR(C799="",B799&lt;&gt;"Pengeluaran"),"",IFERROR(INDEX(Dashboard!$B$18:$B$39,MATCH(C799,Dashboard!$A$18:$A$39,0)),""))</f>
        <v/>
      </c>
    </row>
    <row r="800" customFormat="false" ht="15" hidden="false" customHeight="false" outlineLevel="0" collapsed="false">
      <c r="A800" s="24"/>
      <c r="B800" s="25"/>
      <c r="C800" s="25"/>
      <c r="D800" s="25"/>
      <c r="E800" s="6"/>
      <c r="F800" s="26" t="str">
        <f aca="false">IF(A800="","",MONTH(A800))</f>
        <v/>
      </c>
      <c r="G800" s="26" t="str">
        <f aca="false">IF(A800="","",YEAR(A800))</f>
        <v/>
      </c>
      <c r="H800" s="11" t="str">
        <f aca="false">IF(OR(C800="",B800&lt;&gt;"Pengeluaran"),"",IFERROR(INDEX(Dashboard!$B$18:$B$39,MATCH(C800,Dashboard!$A$18:$A$39,0)),""))</f>
        <v/>
      </c>
    </row>
    <row r="801" customFormat="false" ht="15" hidden="false" customHeight="false" outlineLevel="0" collapsed="false">
      <c r="A801" s="24"/>
      <c r="B801" s="25"/>
      <c r="C801" s="25"/>
      <c r="D801" s="25"/>
      <c r="E801" s="6"/>
      <c r="F801" s="26" t="str">
        <f aca="false">IF(A801="","",MONTH(A801))</f>
        <v/>
      </c>
      <c r="G801" s="26" t="str">
        <f aca="false">IF(A801="","",YEAR(A801))</f>
        <v/>
      </c>
      <c r="H801" s="11" t="str">
        <f aca="false">IF(OR(C801="",B801&lt;&gt;"Pengeluaran"),"",IFERROR(INDEX(Dashboard!$B$18:$B$39,MATCH(C801,Dashboard!$A$18:$A$39,0)),""))</f>
        <v/>
      </c>
    </row>
    <row r="802" customFormat="false" ht="15" hidden="false" customHeight="false" outlineLevel="0" collapsed="false">
      <c r="A802" s="24"/>
      <c r="B802" s="25"/>
      <c r="C802" s="25"/>
      <c r="D802" s="25"/>
      <c r="E802" s="6"/>
      <c r="F802" s="26" t="str">
        <f aca="false">IF(A802="","",MONTH(A802))</f>
        <v/>
      </c>
      <c r="G802" s="26" t="str">
        <f aca="false">IF(A802="","",YEAR(A802))</f>
        <v/>
      </c>
      <c r="H802" s="11" t="str">
        <f aca="false">IF(OR(C802="",B802&lt;&gt;"Pengeluaran"),"",IFERROR(INDEX(Dashboard!$B$18:$B$39,MATCH(C802,Dashboard!$A$18:$A$39,0)),""))</f>
        <v/>
      </c>
    </row>
    <row r="803" customFormat="false" ht="15" hidden="false" customHeight="false" outlineLevel="0" collapsed="false">
      <c r="A803" s="24"/>
      <c r="B803" s="25"/>
      <c r="C803" s="25"/>
      <c r="D803" s="25"/>
      <c r="E803" s="6"/>
      <c r="F803" s="26" t="str">
        <f aca="false">IF(A803="","",MONTH(A803))</f>
        <v/>
      </c>
      <c r="G803" s="26" t="str">
        <f aca="false">IF(A803="","",YEAR(A803))</f>
        <v/>
      </c>
      <c r="H803" s="11" t="str">
        <f aca="false">IF(OR(C803="",B803&lt;&gt;"Pengeluaran"),"",IFERROR(INDEX(Dashboard!$B$18:$B$39,MATCH(C803,Dashboard!$A$18:$A$39,0)),""))</f>
        <v/>
      </c>
    </row>
    <row r="804" customFormat="false" ht="15" hidden="false" customHeight="false" outlineLevel="0" collapsed="false">
      <c r="A804" s="24"/>
      <c r="B804" s="25"/>
      <c r="C804" s="25"/>
      <c r="D804" s="25"/>
      <c r="E804" s="6"/>
      <c r="F804" s="26" t="str">
        <f aca="false">IF(A804="","",MONTH(A804))</f>
        <v/>
      </c>
      <c r="G804" s="26" t="str">
        <f aca="false">IF(A804="","",YEAR(A804))</f>
        <v/>
      </c>
      <c r="H804" s="11" t="str">
        <f aca="false">IF(OR(C804="",B804&lt;&gt;"Pengeluaran"),"",IFERROR(INDEX(Dashboard!$B$18:$B$39,MATCH(C804,Dashboard!$A$18:$A$39,0)),""))</f>
        <v/>
      </c>
    </row>
    <row r="805" customFormat="false" ht="15" hidden="false" customHeight="false" outlineLevel="0" collapsed="false">
      <c r="A805" s="24"/>
      <c r="B805" s="25"/>
      <c r="C805" s="25"/>
      <c r="D805" s="25"/>
      <c r="E805" s="6"/>
      <c r="F805" s="26" t="str">
        <f aca="false">IF(A805="","",MONTH(A805))</f>
        <v/>
      </c>
      <c r="G805" s="26" t="str">
        <f aca="false">IF(A805="","",YEAR(A805))</f>
        <v/>
      </c>
      <c r="H805" s="11" t="str">
        <f aca="false">IF(OR(C805="",B805&lt;&gt;"Pengeluaran"),"",IFERROR(INDEX(Dashboard!$B$18:$B$39,MATCH(C805,Dashboard!$A$18:$A$39,0)),""))</f>
        <v/>
      </c>
    </row>
    <row r="806" customFormat="false" ht="15" hidden="false" customHeight="false" outlineLevel="0" collapsed="false">
      <c r="A806" s="24"/>
      <c r="B806" s="25"/>
      <c r="C806" s="25"/>
      <c r="D806" s="25"/>
      <c r="E806" s="6"/>
      <c r="F806" s="26" t="str">
        <f aca="false">IF(A806="","",MONTH(A806))</f>
        <v/>
      </c>
      <c r="G806" s="26" t="str">
        <f aca="false">IF(A806="","",YEAR(A806))</f>
        <v/>
      </c>
      <c r="H806" s="11" t="str">
        <f aca="false">IF(OR(C806="",B806&lt;&gt;"Pengeluaran"),"",IFERROR(INDEX(Dashboard!$B$18:$B$39,MATCH(C806,Dashboard!$A$18:$A$39,0)),""))</f>
        <v/>
      </c>
    </row>
    <row r="807" customFormat="false" ht="15" hidden="false" customHeight="false" outlineLevel="0" collapsed="false">
      <c r="A807" s="24"/>
      <c r="B807" s="25"/>
      <c r="C807" s="25"/>
      <c r="D807" s="25"/>
      <c r="E807" s="6"/>
      <c r="F807" s="26" t="str">
        <f aca="false">IF(A807="","",MONTH(A807))</f>
        <v/>
      </c>
      <c r="G807" s="26" t="str">
        <f aca="false">IF(A807="","",YEAR(A807))</f>
        <v/>
      </c>
      <c r="H807" s="11" t="str">
        <f aca="false">IF(OR(C807="",B807&lt;&gt;"Pengeluaran"),"",IFERROR(INDEX(Dashboard!$B$18:$B$39,MATCH(C807,Dashboard!$A$18:$A$39,0)),""))</f>
        <v/>
      </c>
    </row>
    <row r="808" customFormat="false" ht="15" hidden="false" customHeight="false" outlineLevel="0" collapsed="false">
      <c r="A808" s="24"/>
      <c r="B808" s="25"/>
      <c r="C808" s="25"/>
      <c r="D808" s="25"/>
      <c r="E808" s="6"/>
      <c r="F808" s="26" t="str">
        <f aca="false">IF(A808="","",MONTH(A808))</f>
        <v/>
      </c>
      <c r="G808" s="26" t="str">
        <f aca="false">IF(A808="","",YEAR(A808))</f>
        <v/>
      </c>
      <c r="H808" s="11" t="str">
        <f aca="false">IF(OR(C808="",B808&lt;&gt;"Pengeluaran"),"",IFERROR(INDEX(Dashboard!$B$18:$B$39,MATCH(C808,Dashboard!$A$18:$A$39,0)),""))</f>
        <v/>
      </c>
    </row>
    <row r="809" customFormat="false" ht="15" hidden="false" customHeight="false" outlineLevel="0" collapsed="false">
      <c r="A809" s="24"/>
      <c r="B809" s="25"/>
      <c r="C809" s="25"/>
      <c r="D809" s="25"/>
      <c r="E809" s="6"/>
      <c r="F809" s="26" t="str">
        <f aca="false">IF(A809="","",MONTH(A809))</f>
        <v/>
      </c>
      <c r="G809" s="26" t="str">
        <f aca="false">IF(A809="","",YEAR(A809))</f>
        <v/>
      </c>
      <c r="H809" s="11" t="str">
        <f aca="false">IF(OR(C809="",B809&lt;&gt;"Pengeluaran"),"",IFERROR(INDEX(Dashboard!$B$18:$B$39,MATCH(C809,Dashboard!$A$18:$A$39,0)),""))</f>
        <v/>
      </c>
    </row>
    <row r="810" customFormat="false" ht="15" hidden="false" customHeight="false" outlineLevel="0" collapsed="false">
      <c r="A810" s="24"/>
      <c r="B810" s="25"/>
      <c r="C810" s="25"/>
      <c r="D810" s="25"/>
      <c r="E810" s="6"/>
      <c r="F810" s="26" t="str">
        <f aca="false">IF(A810="","",MONTH(A810))</f>
        <v/>
      </c>
      <c r="G810" s="26" t="str">
        <f aca="false">IF(A810="","",YEAR(A810))</f>
        <v/>
      </c>
      <c r="H810" s="11" t="str">
        <f aca="false">IF(OR(C810="",B810&lt;&gt;"Pengeluaran"),"",IFERROR(INDEX(Dashboard!$B$18:$B$39,MATCH(C810,Dashboard!$A$18:$A$39,0)),""))</f>
        <v/>
      </c>
    </row>
    <row r="811" customFormat="false" ht="15" hidden="false" customHeight="false" outlineLevel="0" collapsed="false">
      <c r="A811" s="24"/>
      <c r="B811" s="25"/>
      <c r="C811" s="25"/>
      <c r="D811" s="25"/>
      <c r="E811" s="6"/>
      <c r="F811" s="26" t="str">
        <f aca="false">IF(A811="","",MONTH(A811))</f>
        <v/>
      </c>
      <c r="G811" s="26" t="str">
        <f aca="false">IF(A811="","",YEAR(A811))</f>
        <v/>
      </c>
      <c r="H811" s="11" t="str">
        <f aca="false">IF(OR(C811="",B811&lt;&gt;"Pengeluaran"),"",IFERROR(INDEX(Dashboard!$B$18:$B$39,MATCH(C811,Dashboard!$A$18:$A$39,0)),""))</f>
        <v/>
      </c>
    </row>
    <row r="812" customFormat="false" ht="15" hidden="false" customHeight="false" outlineLevel="0" collapsed="false">
      <c r="A812" s="24"/>
      <c r="B812" s="25"/>
      <c r="C812" s="25"/>
      <c r="D812" s="25"/>
      <c r="E812" s="6"/>
      <c r="F812" s="26" t="str">
        <f aca="false">IF(A812="","",MONTH(A812))</f>
        <v/>
      </c>
      <c r="G812" s="26" t="str">
        <f aca="false">IF(A812="","",YEAR(A812))</f>
        <v/>
      </c>
      <c r="H812" s="11" t="str">
        <f aca="false">IF(OR(C812="",B812&lt;&gt;"Pengeluaran"),"",IFERROR(INDEX(Dashboard!$B$18:$B$39,MATCH(C812,Dashboard!$A$18:$A$39,0)),""))</f>
        <v/>
      </c>
    </row>
    <row r="813" customFormat="false" ht="15" hidden="false" customHeight="false" outlineLevel="0" collapsed="false">
      <c r="A813" s="24"/>
      <c r="B813" s="25"/>
      <c r="C813" s="25"/>
      <c r="D813" s="25"/>
      <c r="E813" s="6"/>
      <c r="F813" s="26" t="str">
        <f aca="false">IF(A813="","",MONTH(A813))</f>
        <v/>
      </c>
      <c r="G813" s="26" t="str">
        <f aca="false">IF(A813="","",YEAR(A813))</f>
        <v/>
      </c>
      <c r="H813" s="11" t="str">
        <f aca="false">IF(OR(C813="",B813&lt;&gt;"Pengeluaran"),"",IFERROR(INDEX(Dashboard!$B$18:$B$39,MATCH(C813,Dashboard!$A$18:$A$39,0)),""))</f>
        <v/>
      </c>
    </row>
    <row r="814" customFormat="false" ht="15" hidden="false" customHeight="false" outlineLevel="0" collapsed="false">
      <c r="A814" s="24"/>
      <c r="B814" s="25"/>
      <c r="C814" s="25"/>
      <c r="D814" s="25"/>
      <c r="E814" s="6"/>
      <c r="F814" s="26" t="str">
        <f aca="false">IF(A814="","",MONTH(A814))</f>
        <v/>
      </c>
      <c r="G814" s="26" t="str">
        <f aca="false">IF(A814="","",YEAR(A814))</f>
        <v/>
      </c>
      <c r="H814" s="11" t="str">
        <f aca="false">IF(OR(C814="",B814&lt;&gt;"Pengeluaran"),"",IFERROR(INDEX(Dashboard!$B$18:$B$39,MATCH(C814,Dashboard!$A$18:$A$39,0)),""))</f>
        <v/>
      </c>
    </row>
    <row r="815" customFormat="false" ht="15" hidden="false" customHeight="false" outlineLevel="0" collapsed="false">
      <c r="A815" s="24"/>
      <c r="B815" s="25"/>
      <c r="C815" s="25"/>
      <c r="D815" s="25"/>
      <c r="E815" s="6"/>
      <c r="F815" s="26" t="str">
        <f aca="false">IF(A815="","",MONTH(A815))</f>
        <v/>
      </c>
      <c r="G815" s="26" t="str">
        <f aca="false">IF(A815="","",YEAR(A815))</f>
        <v/>
      </c>
      <c r="H815" s="11" t="str">
        <f aca="false">IF(OR(C815="",B815&lt;&gt;"Pengeluaran"),"",IFERROR(INDEX(Dashboard!$B$18:$B$39,MATCH(C815,Dashboard!$A$18:$A$39,0)),""))</f>
        <v/>
      </c>
    </row>
    <row r="816" customFormat="false" ht="15" hidden="false" customHeight="false" outlineLevel="0" collapsed="false">
      <c r="A816" s="24"/>
      <c r="B816" s="25"/>
      <c r="C816" s="25"/>
      <c r="D816" s="25"/>
      <c r="E816" s="6"/>
      <c r="F816" s="26" t="str">
        <f aca="false">IF(A816="","",MONTH(A816))</f>
        <v/>
      </c>
      <c r="G816" s="26" t="str">
        <f aca="false">IF(A816="","",YEAR(A816))</f>
        <v/>
      </c>
      <c r="H816" s="11" t="str">
        <f aca="false">IF(OR(C816="",B816&lt;&gt;"Pengeluaran"),"",IFERROR(INDEX(Dashboard!$B$18:$B$39,MATCH(C816,Dashboard!$A$18:$A$39,0)),""))</f>
        <v/>
      </c>
    </row>
    <row r="817" customFormat="false" ht="15" hidden="false" customHeight="false" outlineLevel="0" collapsed="false">
      <c r="A817" s="24"/>
      <c r="B817" s="25"/>
      <c r="C817" s="25"/>
      <c r="D817" s="25"/>
      <c r="E817" s="6"/>
      <c r="F817" s="26" t="str">
        <f aca="false">IF(A817="","",MONTH(A817))</f>
        <v/>
      </c>
      <c r="G817" s="26" t="str">
        <f aca="false">IF(A817="","",YEAR(A817))</f>
        <v/>
      </c>
      <c r="H817" s="11" t="str">
        <f aca="false">IF(OR(C817="",B817&lt;&gt;"Pengeluaran"),"",IFERROR(INDEX(Dashboard!$B$18:$B$39,MATCH(C817,Dashboard!$A$18:$A$39,0)),""))</f>
        <v/>
      </c>
    </row>
    <row r="818" customFormat="false" ht="15" hidden="false" customHeight="false" outlineLevel="0" collapsed="false">
      <c r="A818" s="24"/>
      <c r="B818" s="25"/>
      <c r="C818" s="25"/>
      <c r="D818" s="25"/>
      <c r="E818" s="6"/>
      <c r="F818" s="26" t="str">
        <f aca="false">IF(A818="","",MONTH(A818))</f>
        <v/>
      </c>
      <c r="G818" s="26" t="str">
        <f aca="false">IF(A818="","",YEAR(A818))</f>
        <v/>
      </c>
      <c r="H818" s="11" t="str">
        <f aca="false">IF(OR(C818="",B818&lt;&gt;"Pengeluaran"),"",IFERROR(INDEX(Dashboard!$B$18:$B$39,MATCH(C818,Dashboard!$A$18:$A$39,0)),""))</f>
        <v/>
      </c>
    </row>
    <row r="819" customFormat="false" ht="15" hidden="false" customHeight="false" outlineLevel="0" collapsed="false">
      <c r="A819" s="24"/>
      <c r="B819" s="25"/>
      <c r="C819" s="25"/>
      <c r="D819" s="25"/>
      <c r="E819" s="6"/>
      <c r="F819" s="26" t="str">
        <f aca="false">IF(A819="","",MONTH(A819))</f>
        <v/>
      </c>
      <c r="G819" s="26" t="str">
        <f aca="false">IF(A819="","",YEAR(A819))</f>
        <v/>
      </c>
      <c r="H819" s="11" t="str">
        <f aca="false">IF(OR(C819="",B819&lt;&gt;"Pengeluaran"),"",IFERROR(INDEX(Dashboard!$B$18:$B$39,MATCH(C819,Dashboard!$A$18:$A$39,0)),""))</f>
        <v/>
      </c>
    </row>
    <row r="820" customFormat="false" ht="15" hidden="false" customHeight="false" outlineLevel="0" collapsed="false">
      <c r="A820" s="24"/>
      <c r="B820" s="25"/>
      <c r="C820" s="25"/>
      <c r="D820" s="25"/>
      <c r="E820" s="6"/>
      <c r="F820" s="26" t="str">
        <f aca="false">IF(A820="","",MONTH(A820))</f>
        <v/>
      </c>
      <c r="G820" s="26" t="str">
        <f aca="false">IF(A820="","",YEAR(A820))</f>
        <v/>
      </c>
      <c r="H820" s="11" t="str">
        <f aca="false">IF(OR(C820="",B820&lt;&gt;"Pengeluaran"),"",IFERROR(INDEX(Dashboard!$B$18:$B$39,MATCH(C820,Dashboard!$A$18:$A$39,0)),""))</f>
        <v/>
      </c>
    </row>
    <row r="821" customFormat="false" ht="15" hidden="false" customHeight="false" outlineLevel="0" collapsed="false">
      <c r="A821" s="24"/>
      <c r="B821" s="25"/>
      <c r="C821" s="25"/>
      <c r="D821" s="25"/>
      <c r="E821" s="6"/>
      <c r="F821" s="26" t="str">
        <f aca="false">IF(A821="","",MONTH(A821))</f>
        <v/>
      </c>
      <c r="G821" s="26" t="str">
        <f aca="false">IF(A821="","",YEAR(A821))</f>
        <v/>
      </c>
      <c r="H821" s="11" t="str">
        <f aca="false">IF(OR(C821="",B821&lt;&gt;"Pengeluaran"),"",IFERROR(INDEX(Dashboard!$B$18:$B$39,MATCH(C821,Dashboard!$A$18:$A$39,0)),""))</f>
        <v/>
      </c>
    </row>
    <row r="822" customFormat="false" ht="15" hidden="false" customHeight="false" outlineLevel="0" collapsed="false">
      <c r="A822" s="24"/>
      <c r="B822" s="25"/>
      <c r="C822" s="25"/>
      <c r="D822" s="25"/>
      <c r="E822" s="6"/>
      <c r="F822" s="26" t="str">
        <f aca="false">IF(A822="","",MONTH(A822))</f>
        <v/>
      </c>
      <c r="G822" s="26" t="str">
        <f aca="false">IF(A822="","",YEAR(A822))</f>
        <v/>
      </c>
      <c r="H822" s="11" t="str">
        <f aca="false">IF(OR(C822="",B822&lt;&gt;"Pengeluaran"),"",IFERROR(INDEX(Dashboard!$B$18:$B$39,MATCH(C822,Dashboard!$A$18:$A$39,0)),""))</f>
        <v/>
      </c>
    </row>
    <row r="823" customFormat="false" ht="15" hidden="false" customHeight="false" outlineLevel="0" collapsed="false">
      <c r="A823" s="24"/>
      <c r="B823" s="25"/>
      <c r="C823" s="25"/>
      <c r="D823" s="25"/>
      <c r="E823" s="6"/>
      <c r="F823" s="26" t="str">
        <f aca="false">IF(A823="","",MONTH(A823))</f>
        <v/>
      </c>
      <c r="G823" s="26" t="str">
        <f aca="false">IF(A823="","",YEAR(A823))</f>
        <v/>
      </c>
      <c r="H823" s="11" t="str">
        <f aca="false">IF(OR(C823="",B823&lt;&gt;"Pengeluaran"),"",IFERROR(INDEX(Dashboard!$B$18:$B$39,MATCH(C823,Dashboard!$A$18:$A$39,0)),""))</f>
        <v/>
      </c>
    </row>
    <row r="824" customFormat="false" ht="15" hidden="false" customHeight="false" outlineLevel="0" collapsed="false">
      <c r="A824" s="24"/>
      <c r="B824" s="25"/>
      <c r="C824" s="25"/>
      <c r="D824" s="25"/>
      <c r="E824" s="6"/>
      <c r="F824" s="26" t="str">
        <f aca="false">IF(A824="","",MONTH(A824))</f>
        <v/>
      </c>
      <c r="G824" s="26" t="str">
        <f aca="false">IF(A824="","",YEAR(A824))</f>
        <v/>
      </c>
      <c r="H824" s="11" t="str">
        <f aca="false">IF(OR(C824="",B824&lt;&gt;"Pengeluaran"),"",IFERROR(INDEX(Dashboard!$B$18:$B$39,MATCH(C824,Dashboard!$A$18:$A$39,0)),""))</f>
        <v/>
      </c>
    </row>
    <row r="825" customFormat="false" ht="15" hidden="false" customHeight="false" outlineLevel="0" collapsed="false">
      <c r="A825" s="24"/>
      <c r="B825" s="25"/>
      <c r="C825" s="25"/>
      <c r="D825" s="25"/>
      <c r="E825" s="6"/>
      <c r="F825" s="26" t="str">
        <f aca="false">IF(A825="","",MONTH(A825))</f>
        <v/>
      </c>
      <c r="G825" s="26" t="str">
        <f aca="false">IF(A825="","",YEAR(A825))</f>
        <v/>
      </c>
      <c r="H825" s="11" t="str">
        <f aca="false">IF(OR(C825="",B825&lt;&gt;"Pengeluaran"),"",IFERROR(INDEX(Dashboard!$B$18:$B$39,MATCH(C825,Dashboard!$A$18:$A$39,0)),""))</f>
        <v/>
      </c>
    </row>
    <row r="826" customFormat="false" ht="15" hidden="false" customHeight="false" outlineLevel="0" collapsed="false">
      <c r="A826" s="24"/>
      <c r="B826" s="25"/>
      <c r="C826" s="25"/>
      <c r="D826" s="25"/>
      <c r="E826" s="6"/>
      <c r="F826" s="26" t="str">
        <f aca="false">IF(A826="","",MONTH(A826))</f>
        <v/>
      </c>
      <c r="G826" s="26" t="str">
        <f aca="false">IF(A826="","",YEAR(A826))</f>
        <v/>
      </c>
      <c r="H826" s="11" t="str">
        <f aca="false">IF(OR(C826="",B826&lt;&gt;"Pengeluaran"),"",IFERROR(INDEX(Dashboard!$B$18:$B$39,MATCH(C826,Dashboard!$A$18:$A$39,0)),""))</f>
        <v/>
      </c>
    </row>
    <row r="827" customFormat="false" ht="15" hidden="false" customHeight="false" outlineLevel="0" collapsed="false">
      <c r="A827" s="24"/>
      <c r="B827" s="25"/>
      <c r="C827" s="25"/>
      <c r="D827" s="25"/>
      <c r="E827" s="6"/>
      <c r="F827" s="26" t="str">
        <f aca="false">IF(A827="","",MONTH(A827))</f>
        <v/>
      </c>
      <c r="G827" s="26" t="str">
        <f aca="false">IF(A827="","",YEAR(A827))</f>
        <v/>
      </c>
      <c r="H827" s="11" t="str">
        <f aca="false">IF(OR(C827="",B827&lt;&gt;"Pengeluaran"),"",IFERROR(INDEX(Dashboard!$B$18:$B$39,MATCH(C827,Dashboard!$A$18:$A$39,0)),""))</f>
        <v/>
      </c>
    </row>
    <row r="828" customFormat="false" ht="15" hidden="false" customHeight="false" outlineLevel="0" collapsed="false">
      <c r="A828" s="24"/>
      <c r="B828" s="25"/>
      <c r="C828" s="25"/>
      <c r="D828" s="25"/>
      <c r="E828" s="6"/>
      <c r="F828" s="26" t="str">
        <f aca="false">IF(A828="","",MONTH(A828))</f>
        <v/>
      </c>
      <c r="G828" s="26" t="str">
        <f aca="false">IF(A828="","",YEAR(A828))</f>
        <v/>
      </c>
      <c r="H828" s="11" t="str">
        <f aca="false">IF(OR(C828="",B828&lt;&gt;"Pengeluaran"),"",IFERROR(INDEX(Dashboard!$B$18:$B$39,MATCH(C828,Dashboard!$A$18:$A$39,0)),""))</f>
        <v/>
      </c>
    </row>
    <row r="829" customFormat="false" ht="15" hidden="false" customHeight="false" outlineLevel="0" collapsed="false">
      <c r="A829" s="24"/>
      <c r="B829" s="25"/>
      <c r="C829" s="25"/>
      <c r="D829" s="25"/>
      <c r="E829" s="6"/>
      <c r="F829" s="26" t="str">
        <f aca="false">IF(A829="","",MONTH(A829))</f>
        <v/>
      </c>
      <c r="G829" s="26" t="str">
        <f aca="false">IF(A829="","",YEAR(A829))</f>
        <v/>
      </c>
      <c r="H829" s="11" t="str">
        <f aca="false">IF(OR(C829="",B829&lt;&gt;"Pengeluaran"),"",IFERROR(INDEX(Dashboard!$B$18:$B$39,MATCH(C829,Dashboard!$A$18:$A$39,0)),""))</f>
        <v/>
      </c>
    </row>
    <row r="830" customFormat="false" ht="15" hidden="false" customHeight="false" outlineLevel="0" collapsed="false">
      <c r="A830" s="24"/>
      <c r="B830" s="25"/>
      <c r="C830" s="25"/>
      <c r="D830" s="25"/>
      <c r="E830" s="6"/>
      <c r="F830" s="26" t="str">
        <f aca="false">IF(A830="","",MONTH(A830))</f>
        <v/>
      </c>
      <c r="G830" s="26" t="str">
        <f aca="false">IF(A830="","",YEAR(A830))</f>
        <v/>
      </c>
      <c r="H830" s="11" t="str">
        <f aca="false">IF(OR(C830="",B830&lt;&gt;"Pengeluaran"),"",IFERROR(INDEX(Dashboard!$B$18:$B$39,MATCH(C830,Dashboard!$A$18:$A$39,0)),""))</f>
        <v/>
      </c>
    </row>
    <row r="831" customFormat="false" ht="15" hidden="false" customHeight="false" outlineLevel="0" collapsed="false">
      <c r="A831" s="24"/>
      <c r="B831" s="25"/>
      <c r="C831" s="25"/>
      <c r="D831" s="25"/>
      <c r="E831" s="6"/>
      <c r="F831" s="26" t="str">
        <f aca="false">IF(A831="","",MONTH(A831))</f>
        <v/>
      </c>
      <c r="G831" s="26" t="str">
        <f aca="false">IF(A831="","",YEAR(A831))</f>
        <v/>
      </c>
      <c r="H831" s="11" t="str">
        <f aca="false">IF(OR(C831="",B831&lt;&gt;"Pengeluaran"),"",IFERROR(INDEX(Dashboard!$B$18:$B$39,MATCH(C831,Dashboard!$A$18:$A$39,0)),""))</f>
        <v/>
      </c>
    </row>
    <row r="832" customFormat="false" ht="15" hidden="false" customHeight="false" outlineLevel="0" collapsed="false">
      <c r="A832" s="24"/>
      <c r="B832" s="25"/>
      <c r="C832" s="25"/>
      <c r="D832" s="25"/>
      <c r="E832" s="6"/>
      <c r="F832" s="26" t="str">
        <f aca="false">IF(A832="","",MONTH(A832))</f>
        <v/>
      </c>
      <c r="G832" s="26" t="str">
        <f aca="false">IF(A832="","",YEAR(A832))</f>
        <v/>
      </c>
      <c r="H832" s="11" t="str">
        <f aca="false">IF(OR(C832="",B832&lt;&gt;"Pengeluaran"),"",IFERROR(INDEX(Dashboard!$B$18:$B$39,MATCH(C832,Dashboard!$A$18:$A$39,0)),""))</f>
        <v/>
      </c>
    </row>
    <row r="833" customFormat="false" ht="15" hidden="false" customHeight="false" outlineLevel="0" collapsed="false">
      <c r="A833" s="24"/>
      <c r="B833" s="25"/>
      <c r="C833" s="25"/>
      <c r="D833" s="25"/>
      <c r="E833" s="6"/>
      <c r="F833" s="26" t="str">
        <f aca="false">IF(A833="","",MONTH(A833))</f>
        <v/>
      </c>
      <c r="G833" s="26" t="str">
        <f aca="false">IF(A833="","",YEAR(A833))</f>
        <v/>
      </c>
      <c r="H833" s="11" t="str">
        <f aca="false">IF(OR(C833="",B833&lt;&gt;"Pengeluaran"),"",IFERROR(INDEX(Dashboard!$B$18:$B$39,MATCH(C833,Dashboard!$A$18:$A$39,0)),""))</f>
        <v/>
      </c>
    </row>
    <row r="834" customFormat="false" ht="15" hidden="false" customHeight="false" outlineLevel="0" collapsed="false">
      <c r="A834" s="24"/>
      <c r="B834" s="25"/>
      <c r="C834" s="25"/>
      <c r="D834" s="25"/>
      <c r="E834" s="6"/>
      <c r="F834" s="26" t="str">
        <f aca="false">IF(A834="","",MONTH(A834))</f>
        <v/>
      </c>
      <c r="G834" s="26" t="str">
        <f aca="false">IF(A834="","",YEAR(A834))</f>
        <v/>
      </c>
      <c r="H834" s="11" t="str">
        <f aca="false">IF(OR(C834="",B834&lt;&gt;"Pengeluaran"),"",IFERROR(INDEX(Dashboard!$B$18:$B$39,MATCH(C834,Dashboard!$A$18:$A$39,0)),""))</f>
        <v/>
      </c>
    </row>
    <row r="835" customFormat="false" ht="15" hidden="false" customHeight="false" outlineLevel="0" collapsed="false">
      <c r="A835" s="24"/>
      <c r="B835" s="25"/>
      <c r="C835" s="25"/>
      <c r="D835" s="25"/>
      <c r="E835" s="6"/>
      <c r="F835" s="26" t="str">
        <f aca="false">IF(A835="","",MONTH(A835))</f>
        <v/>
      </c>
      <c r="G835" s="26" t="str">
        <f aca="false">IF(A835="","",YEAR(A835))</f>
        <v/>
      </c>
      <c r="H835" s="11" t="str">
        <f aca="false">IF(OR(C835="",B835&lt;&gt;"Pengeluaran"),"",IFERROR(INDEX(Dashboard!$B$18:$B$39,MATCH(C835,Dashboard!$A$18:$A$39,0)),""))</f>
        <v/>
      </c>
    </row>
    <row r="836" customFormat="false" ht="15" hidden="false" customHeight="false" outlineLevel="0" collapsed="false">
      <c r="A836" s="24"/>
      <c r="B836" s="25"/>
      <c r="C836" s="25"/>
      <c r="D836" s="25"/>
      <c r="E836" s="6"/>
      <c r="F836" s="26" t="str">
        <f aca="false">IF(A836="","",MONTH(A836))</f>
        <v/>
      </c>
      <c r="G836" s="26" t="str">
        <f aca="false">IF(A836="","",YEAR(A836))</f>
        <v/>
      </c>
      <c r="H836" s="11" t="str">
        <f aca="false">IF(OR(C836="",B836&lt;&gt;"Pengeluaran"),"",IFERROR(INDEX(Dashboard!$B$18:$B$39,MATCH(C836,Dashboard!$A$18:$A$39,0)),""))</f>
        <v/>
      </c>
    </row>
    <row r="837" customFormat="false" ht="15" hidden="false" customHeight="false" outlineLevel="0" collapsed="false">
      <c r="A837" s="24"/>
      <c r="B837" s="25"/>
      <c r="C837" s="25"/>
      <c r="D837" s="25"/>
      <c r="E837" s="6"/>
      <c r="F837" s="26" t="str">
        <f aca="false">IF(A837="","",MONTH(A837))</f>
        <v/>
      </c>
      <c r="G837" s="26" t="str">
        <f aca="false">IF(A837="","",YEAR(A837))</f>
        <v/>
      </c>
      <c r="H837" s="11" t="str">
        <f aca="false">IF(OR(C837="",B837&lt;&gt;"Pengeluaran"),"",IFERROR(INDEX(Dashboard!$B$18:$B$39,MATCH(C837,Dashboard!$A$18:$A$39,0)),""))</f>
        <v/>
      </c>
    </row>
    <row r="838" customFormat="false" ht="15" hidden="false" customHeight="false" outlineLevel="0" collapsed="false">
      <c r="A838" s="24"/>
      <c r="B838" s="25"/>
      <c r="C838" s="25"/>
      <c r="D838" s="25"/>
      <c r="E838" s="6"/>
      <c r="F838" s="26" t="str">
        <f aca="false">IF(A838="","",MONTH(A838))</f>
        <v/>
      </c>
      <c r="G838" s="26" t="str">
        <f aca="false">IF(A838="","",YEAR(A838))</f>
        <v/>
      </c>
      <c r="H838" s="11" t="str">
        <f aca="false">IF(OR(C838="",B838&lt;&gt;"Pengeluaran"),"",IFERROR(INDEX(Dashboard!$B$18:$B$39,MATCH(C838,Dashboard!$A$18:$A$39,0)),""))</f>
        <v/>
      </c>
    </row>
    <row r="839" customFormat="false" ht="15" hidden="false" customHeight="false" outlineLevel="0" collapsed="false">
      <c r="A839" s="24"/>
      <c r="B839" s="25"/>
      <c r="C839" s="25"/>
      <c r="D839" s="25"/>
      <c r="E839" s="6"/>
      <c r="F839" s="26" t="str">
        <f aca="false">IF(A839="","",MONTH(A839))</f>
        <v/>
      </c>
      <c r="G839" s="26" t="str">
        <f aca="false">IF(A839="","",YEAR(A839))</f>
        <v/>
      </c>
      <c r="H839" s="11" t="str">
        <f aca="false">IF(OR(C839="",B839&lt;&gt;"Pengeluaran"),"",IFERROR(INDEX(Dashboard!$B$18:$B$39,MATCH(C839,Dashboard!$A$18:$A$39,0)),""))</f>
        <v/>
      </c>
    </row>
    <row r="840" customFormat="false" ht="15" hidden="false" customHeight="false" outlineLevel="0" collapsed="false">
      <c r="A840" s="24"/>
      <c r="B840" s="25"/>
      <c r="C840" s="25"/>
      <c r="D840" s="25"/>
      <c r="E840" s="6"/>
      <c r="F840" s="26" t="str">
        <f aca="false">IF(A840="","",MONTH(A840))</f>
        <v/>
      </c>
      <c r="G840" s="26" t="str">
        <f aca="false">IF(A840="","",YEAR(A840))</f>
        <v/>
      </c>
      <c r="H840" s="11" t="str">
        <f aca="false">IF(OR(C840="",B840&lt;&gt;"Pengeluaran"),"",IFERROR(INDEX(Dashboard!$B$18:$B$39,MATCH(C840,Dashboard!$A$18:$A$39,0)),""))</f>
        <v/>
      </c>
    </row>
    <row r="841" customFormat="false" ht="15" hidden="false" customHeight="false" outlineLevel="0" collapsed="false">
      <c r="A841" s="24"/>
      <c r="B841" s="25"/>
      <c r="C841" s="25"/>
      <c r="D841" s="25"/>
      <c r="E841" s="6"/>
      <c r="F841" s="26" t="str">
        <f aca="false">IF(A841="","",MONTH(A841))</f>
        <v/>
      </c>
      <c r="G841" s="26" t="str">
        <f aca="false">IF(A841="","",YEAR(A841))</f>
        <v/>
      </c>
      <c r="H841" s="11" t="str">
        <f aca="false">IF(OR(C841="",B841&lt;&gt;"Pengeluaran"),"",IFERROR(INDEX(Dashboard!$B$18:$B$39,MATCH(C841,Dashboard!$A$18:$A$39,0)),""))</f>
        <v/>
      </c>
    </row>
    <row r="842" customFormat="false" ht="15" hidden="false" customHeight="false" outlineLevel="0" collapsed="false">
      <c r="A842" s="24"/>
      <c r="B842" s="25"/>
      <c r="C842" s="25"/>
      <c r="D842" s="25"/>
      <c r="E842" s="6"/>
      <c r="F842" s="26" t="str">
        <f aca="false">IF(A842="","",MONTH(A842))</f>
        <v/>
      </c>
      <c r="G842" s="26" t="str">
        <f aca="false">IF(A842="","",YEAR(A842))</f>
        <v/>
      </c>
      <c r="H842" s="11" t="str">
        <f aca="false">IF(OR(C842="",B842&lt;&gt;"Pengeluaran"),"",IFERROR(INDEX(Dashboard!$B$18:$B$39,MATCH(C842,Dashboard!$A$18:$A$39,0)),""))</f>
        <v/>
      </c>
    </row>
    <row r="843" customFormat="false" ht="15" hidden="false" customHeight="false" outlineLevel="0" collapsed="false">
      <c r="A843" s="24"/>
      <c r="B843" s="25"/>
      <c r="C843" s="25"/>
      <c r="D843" s="25"/>
      <c r="E843" s="6"/>
      <c r="F843" s="26" t="str">
        <f aca="false">IF(A843="","",MONTH(A843))</f>
        <v/>
      </c>
      <c r="G843" s="26" t="str">
        <f aca="false">IF(A843="","",YEAR(A843))</f>
        <v/>
      </c>
      <c r="H843" s="11" t="str">
        <f aca="false">IF(OR(C843="",B843&lt;&gt;"Pengeluaran"),"",IFERROR(INDEX(Dashboard!$B$18:$B$39,MATCH(C843,Dashboard!$A$18:$A$39,0)),""))</f>
        <v/>
      </c>
    </row>
    <row r="844" customFormat="false" ht="15" hidden="false" customHeight="false" outlineLevel="0" collapsed="false">
      <c r="A844" s="24"/>
      <c r="B844" s="25"/>
      <c r="C844" s="25"/>
      <c r="D844" s="25"/>
      <c r="E844" s="6"/>
      <c r="F844" s="26" t="str">
        <f aca="false">IF(A844="","",MONTH(A844))</f>
        <v/>
      </c>
      <c r="G844" s="26" t="str">
        <f aca="false">IF(A844="","",YEAR(A844))</f>
        <v/>
      </c>
      <c r="H844" s="11" t="str">
        <f aca="false">IF(OR(C844="",B844&lt;&gt;"Pengeluaran"),"",IFERROR(INDEX(Dashboard!$B$18:$B$39,MATCH(C844,Dashboard!$A$18:$A$39,0)),""))</f>
        <v/>
      </c>
    </row>
    <row r="845" customFormat="false" ht="15" hidden="false" customHeight="false" outlineLevel="0" collapsed="false">
      <c r="A845" s="24"/>
      <c r="B845" s="25"/>
      <c r="C845" s="25"/>
      <c r="D845" s="25"/>
      <c r="E845" s="6"/>
      <c r="F845" s="26" t="str">
        <f aca="false">IF(A845="","",MONTH(A845))</f>
        <v/>
      </c>
      <c r="G845" s="26" t="str">
        <f aca="false">IF(A845="","",YEAR(A845))</f>
        <v/>
      </c>
      <c r="H845" s="11" t="str">
        <f aca="false">IF(OR(C845="",B845&lt;&gt;"Pengeluaran"),"",IFERROR(INDEX(Dashboard!$B$18:$B$39,MATCH(C845,Dashboard!$A$18:$A$39,0)),""))</f>
        <v/>
      </c>
    </row>
    <row r="846" customFormat="false" ht="15" hidden="false" customHeight="false" outlineLevel="0" collapsed="false">
      <c r="A846" s="24"/>
      <c r="B846" s="25"/>
      <c r="C846" s="25"/>
      <c r="D846" s="25"/>
      <c r="E846" s="6"/>
      <c r="F846" s="26" t="str">
        <f aca="false">IF(A846="","",MONTH(A846))</f>
        <v/>
      </c>
      <c r="G846" s="26" t="str">
        <f aca="false">IF(A846="","",YEAR(A846))</f>
        <v/>
      </c>
      <c r="H846" s="11" t="str">
        <f aca="false">IF(OR(C846="",B846&lt;&gt;"Pengeluaran"),"",IFERROR(INDEX(Dashboard!$B$18:$B$39,MATCH(C846,Dashboard!$A$18:$A$39,0)),""))</f>
        <v/>
      </c>
    </row>
    <row r="847" customFormat="false" ht="15" hidden="false" customHeight="false" outlineLevel="0" collapsed="false">
      <c r="A847" s="24"/>
      <c r="B847" s="25"/>
      <c r="C847" s="25"/>
      <c r="D847" s="25"/>
      <c r="E847" s="6"/>
      <c r="F847" s="26" t="str">
        <f aca="false">IF(A847="","",MONTH(A847))</f>
        <v/>
      </c>
      <c r="G847" s="26" t="str">
        <f aca="false">IF(A847="","",YEAR(A847))</f>
        <v/>
      </c>
      <c r="H847" s="11" t="str">
        <f aca="false">IF(OR(C847="",B847&lt;&gt;"Pengeluaran"),"",IFERROR(INDEX(Dashboard!$B$18:$B$39,MATCH(C847,Dashboard!$A$18:$A$39,0)),""))</f>
        <v/>
      </c>
    </row>
    <row r="848" customFormat="false" ht="15" hidden="false" customHeight="false" outlineLevel="0" collapsed="false">
      <c r="A848" s="24"/>
      <c r="B848" s="25"/>
      <c r="C848" s="25"/>
      <c r="D848" s="25"/>
      <c r="E848" s="6"/>
      <c r="F848" s="26" t="str">
        <f aca="false">IF(A848="","",MONTH(A848))</f>
        <v/>
      </c>
      <c r="G848" s="26" t="str">
        <f aca="false">IF(A848="","",YEAR(A848))</f>
        <v/>
      </c>
      <c r="H848" s="11" t="str">
        <f aca="false">IF(OR(C848="",B848&lt;&gt;"Pengeluaran"),"",IFERROR(INDEX(Dashboard!$B$18:$B$39,MATCH(C848,Dashboard!$A$18:$A$39,0)),""))</f>
        <v/>
      </c>
    </row>
    <row r="849" customFormat="false" ht="15" hidden="false" customHeight="false" outlineLevel="0" collapsed="false">
      <c r="A849" s="24"/>
      <c r="B849" s="25"/>
      <c r="C849" s="25"/>
      <c r="D849" s="25"/>
      <c r="E849" s="6"/>
      <c r="F849" s="26" t="str">
        <f aca="false">IF(A849="","",MONTH(A849))</f>
        <v/>
      </c>
      <c r="G849" s="26" t="str">
        <f aca="false">IF(A849="","",YEAR(A849))</f>
        <v/>
      </c>
      <c r="H849" s="11" t="str">
        <f aca="false">IF(OR(C849="",B849&lt;&gt;"Pengeluaran"),"",IFERROR(INDEX(Dashboard!$B$18:$B$39,MATCH(C849,Dashboard!$A$18:$A$39,0)),""))</f>
        <v/>
      </c>
    </row>
    <row r="850" customFormat="false" ht="15" hidden="false" customHeight="false" outlineLevel="0" collapsed="false">
      <c r="A850" s="24"/>
      <c r="B850" s="25"/>
      <c r="C850" s="25"/>
      <c r="D850" s="25"/>
      <c r="E850" s="6"/>
      <c r="F850" s="26" t="str">
        <f aca="false">IF(A850="","",MONTH(A850))</f>
        <v/>
      </c>
      <c r="G850" s="26" t="str">
        <f aca="false">IF(A850="","",YEAR(A850))</f>
        <v/>
      </c>
      <c r="H850" s="11" t="str">
        <f aca="false">IF(OR(C850="",B850&lt;&gt;"Pengeluaran"),"",IFERROR(INDEX(Dashboard!$B$18:$B$39,MATCH(C850,Dashboard!$A$18:$A$39,0)),""))</f>
        <v/>
      </c>
    </row>
    <row r="851" customFormat="false" ht="15" hidden="false" customHeight="false" outlineLevel="0" collapsed="false">
      <c r="A851" s="24"/>
      <c r="B851" s="25"/>
      <c r="C851" s="25"/>
      <c r="D851" s="25"/>
      <c r="E851" s="6"/>
      <c r="F851" s="26" t="str">
        <f aca="false">IF(A851="","",MONTH(A851))</f>
        <v/>
      </c>
      <c r="G851" s="26" t="str">
        <f aca="false">IF(A851="","",YEAR(A851))</f>
        <v/>
      </c>
      <c r="H851" s="11" t="str">
        <f aca="false">IF(OR(C851="",B851&lt;&gt;"Pengeluaran"),"",IFERROR(INDEX(Dashboard!$B$18:$B$39,MATCH(C851,Dashboard!$A$18:$A$39,0)),""))</f>
        <v/>
      </c>
    </row>
    <row r="852" customFormat="false" ht="15" hidden="false" customHeight="false" outlineLevel="0" collapsed="false">
      <c r="A852" s="24"/>
      <c r="B852" s="25"/>
      <c r="C852" s="25"/>
      <c r="D852" s="25"/>
      <c r="E852" s="6"/>
      <c r="F852" s="26" t="str">
        <f aca="false">IF(A852="","",MONTH(A852))</f>
        <v/>
      </c>
      <c r="G852" s="26" t="str">
        <f aca="false">IF(A852="","",YEAR(A852))</f>
        <v/>
      </c>
      <c r="H852" s="11" t="str">
        <f aca="false">IF(OR(C852="",B852&lt;&gt;"Pengeluaran"),"",IFERROR(INDEX(Dashboard!$B$18:$B$39,MATCH(C852,Dashboard!$A$18:$A$39,0)),""))</f>
        <v/>
      </c>
    </row>
    <row r="853" customFormat="false" ht="15" hidden="false" customHeight="false" outlineLevel="0" collapsed="false">
      <c r="A853" s="24"/>
      <c r="B853" s="25"/>
      <c r="C853" s="25"/>
      <c r="D853" s="25"/>
      <c r="E853" s="6"/>
      <c r="F853" s="26" t="str">
        <f aca="false">IF(A853="","",MONTH(A853))</f>
        <v/>
      </c>
      <c r="G853" s="26" t="str">
        <f aca="false">IF(A853="","",YEAR(A853))</f>
        <v/>
      </c>
      <c r="H853" s="11" t="str">
        <f aca="false">IF(OR(C853="",B853&lt;&gt;"Pengeluaran"),"",IFERROR(INDEX(Dashboard!$B$18:$B$39,MATCH(C853,Dashboard!$A$18:$A$39,0)),""))</f>
        <v/>
      </c>
    </row>
    <row r="854" customFormat="false" ht="15" hidden="false" customHeight="false" outlineLevel="0" collapsed="false">
      <c r="A854" s="24"/>
      <c r="B854" s="25"/>
      <c r="C854" s="25"/>
      <c r="D854" s="25"/>
      <c r="E854" s="6"/>
      <c r="F854" s="26" t="str">
        <f aca="false">IF(A854="","",MONTH(A854))</f>
        <v/>
      </c>
      <c r="G854" s="26" t="str">
        <f aca="false">IF(A854="","",YEAR(A854))</f>
        <v/>
      </c>
      <c r="H854" s="11" t="str">
        <f aca="false">IF(OR(C854="",B854&lt;&gt;"Pengeluaran"),"",IFERROR(INDEX(Dashboard!$B$18:$B$39,MATCH(C854,Dashboard!$A$18:$A$39,0)),""))</f>
        <v/>
      </c>
    </row>
    <row r="855" customFormat="false" ht="15" hidden="false" customHeight="false" outlineLevel="0" collapsed="false">
      <c r="A855" s="24"/>
      <c r="B855" s="25"/>
      <c r="C855" s="25"/>
      <c r="D855" s="25"/>
      <c r="E855" s="6"/>
      <c r="F855" s="26" t="str">
        <f aca="false">IF(A855="","",MONTH(A855))</f>
        <v/>
      </c>
      <c r="G855" s="26" t="str">
        <f aca="false">IF(A855="","",YEAR(A855))</f>
        <v/>
      </c>
      <c r="H855" s="11" t="str">
        <f aca="false">IF(OR(C855="",B855&lt;&gt;"Pengeluaran"),"",IFERROR(INDEX(Dashboard!$B$18:$B$39,MATCH(C855,Dashboard!$A$18:$A$39,0)),""))</f>
        <v/>
      </c>
    </row>
    <row r="856" customFormat="false" ht="15" hidden="false" customHeight="false" outlineLevel="0" collapsed="false">
      <c r="A856" s="24"/>
      <c r="B856" s="25"/>
      <c r="C856" s="25"/>
      <c r="D856" s="25"/>
      <c r="E856" s="6"/>
      <c r="F856" s="26" t="str">
        <f aca="false">IF(A856="","",MONTH(A856))</f>
        <v/>
      </c>
      <c r="G856" s="26" t="str">
        <f aca="false">IF(A856="","",YEAR(A856))</f>
        <v/>
      </c>
      <c r="H856" s="11" t="str">
        <f aca="false">IF(OR(C856="",B856&lt;&gt;"Pengeluaran"),"",IFERROR(INDEX(Dashboard!$B$18:$B$39,MATCH(C856,Dashboard!$A$18:$A$39,0)),""))</f>
        <v/>
      </c>
    </row>
    <row r="857" customFormat="false" ht="15" hidden="false" customHeight="false" outlineLevel="0" collapsed="false">
      <c r="A857" s="24"/>
      <c r="B857" s="25"/>
      <c r="C857" s="25"/>
      <c r="D857" s="25"/>
      <c r="E857" s="6"/>
      <c r="F857" s="26" t="str">
        <f aca="false">IF(A857="","",MONTH(A857))</f>
        <v/>
      </c>
      <c r="G857" s="26" t="str">
        <f aca="false">IF(A857="","",YEAR(A857))</f>
        <v/>
      </c>
      <c r="H857" s="11" t="str">
        <f aca="false">IF(OR(C857="",B857&lt;&gt;"Pengeluaran"),"",IFERROR(INDEX(Dashboard!$B$18:$B$39,MATCH(C857,Dashboard!$A$18:$A$39,0)),""))</f>
        <v/>
      </c>
    </row>
    <row r="858" customFormat="false" ht="15" hidden="false" customHeight="false" outlineLevel="0" collapsed="false">
      <c r="A858" s="24"/>
      <c r="B858" s="25"/>
      <c r="C858" s="25"/>
      <c r="D858" s="25"/>
      <c r="E858" s="6"/>
      <c r="F858" s="26" t="str">
        <f aca="false">IF(A858="","",MONTH(A858))</f>
        <v/>
      </c>
      <c r="G858" s="26" t="str">
        <f aca="false">IF(A858="","",YEAR(A858))</f>
        <v/>
      </c>
      <c r="H858" s="11" t="str">
        <f aca="false">IF(OR(C858="",B858&lt;&gt;"Pengeluaran"),"",IFERROR(INDEX(Dashboard!$B$18:$B$39,MATCH(C858,Dashboard!$A$18:$A$39,0)),""))</f>
        <v/>
      </c>
    </row>
    <row r="859" customFormat="false" ht="15" hidden="false" customHeight="false" outlineLevel="0" collapsed="false">
      <c r="A859" s="24"/>
      <c r="B859" s="25"/>
      <c r="C859" s="25"/>
      <c r="D859" s="25"/>
      <c r="E859" s="6"/>
      <c r="F859" s="26" t="str">
        <f aca="false">IF(A859="","",MONTH(A859))</f>
        <v/>
      </c>
      <c r="G859" s="26" t="str">
        <f aca="false">IF(A859="","",YEAR(A859))</f>
        <v/>
      </c>
      <c r="H859" s="11" t="str">
        <f aca="false">IF(OR(C859="",B859&lt;&gt;"Pengeluaran"),"",IFERROR(INDEX(Dashboard!$B$18:$B$39,MATCH(C859,Dashboard!$A$18:$A$39,0)),""))</f>
        <v/>
      </c>
    </row>
    <row r="860" customFormat="false" ht="15" hidden="false" customHeight="false" outlineLevel="0" collapsed="false">
      <c r="A860" s="24"/>
      <c r="B860" s="25"/>
      <c r="C860" s="25"/>
      <c r="D860" s="25"/>
      <c r="E860" s="6"/>
      <c r="F860" s="26" t="str">
        <f aca="false">IF(A860="","",MONTH(A860))</f>
        <v/>
      </c>
      <c r="G860" s="26" t="str">
        <f aca="false">IF(A860="","",YEAR(A860))</f>
        <v/>
      </c>
      <c r="H860" s="11" t="str">
        <f aca="false">IF(OR(C860="",B860&lt;&gt;"Pengeluaran"),"",IFERROR(INDEX(Dashboard!$B$18:$B$39,MATCH(C860,Dashboard!$A$18:$A$39,0)),""))</f>
        <v/>
      </c>
    </row>
    <row r="861" customFormat="false" ht="15" hidden="false" customHeight="false" outlineLevel="0" collapsed="false">
      <c r="A861" s="24"/>
      <c r="B861" s="25"/>
      <c r="C861" s="25"/>
      <c r="D861" s="25"/>
      <c r="E861" s="6"/>
      <c r="F861" s="26" t="str">
        <f aca="false">IF(A861="","",MONTH(A861))</f>
        <v/>
      </c>
      <c r="G861" s="26" t="str">
        <f aca="false">IF(A861="","",YEAR(A861))</f>
        <v/>
      </c>
      <c r="H861" s="11" t="str">
        <f aca="false">IF(OR(C861="",B861&lt;&gt;"Pengeluaran"),"",IFERROR(INDEX(Dashboard!$B$18:$B$39,MATCH(C861,Dashboard!$A$18:$A$39,0)),""))</f>
        <v/>
      </c>
    </row>
    <row r="862" customFormat="false" ht="15" hidden="false" customHeight="false" outlineLevel="0" collapsed="false">
      <c r="A862" s="24"/>
      <c r="B862" s="25"/>
      <c r="C862" s="25"/>
      <c r="D862" s="25"/>
      <c r="E862" s="6"/>
      <c r="F862" s="26" t="str">
        <f aca="false">IF(A862="","",MONTH(A862))</f>
        <v/>
      </c>
      <c r="G862" s="26" t="str">
        <f aca="false">IF(A862="","",YEAR(A862))</f>
        <v/>
      </c>
      <c r="H862" s="11" t="str">
        <f aca="false">IF(OR(C862="",B862&lt;&gt;"Pengeluaran"),"",IFERROR(INDEX(Dashboard!$B$18:$B$39,MATCH(C862,Dashboard!$A$18:$A$39,0)),""))</f>
        <v/>
      </c>
    </row>
    <row r="863" customFormat="false" ht="15" hidden="false" customHeight="false" outlineLevel="0" collapsed="false">
      <c r="A863" s="24"/>
      <c r="B863" s="25"/>
      <c r="C863" s="25"/>
      <c r="D863" s="25"/>
      <c r="E863" s="6"/>
      <c r="F863" s="26" t="str">
        <f aca="false">IF(A863="","",MONTH(A863))</f>
        <v/>
      </c>
      <c r="G863" s="26" t="str">
        <f aca="false">IF(A863="","",YEAR(A863))</f>
        <v/>
      </c>
      <c r="H863" s="11" t="str">
        <f aca="false">IF(OR(C863="",B863&lt;&gt;"Pengeluaran"),"",IFERROR(INDEX(Dashboard!$B$18:$B$39,MATCH(C863,Dashboard!$A$18:$A$39,0)),""))</f>
        <v/>
      </c>
    </row>
    <row r="864" customFormat="false" ht="15" hidden="false" customHeight="false" outlineLevel="0" collapsed="false">
      <c r="A864" s="24"/>
      <c r="B864" s="25"/>
      <c r="C864" s="25"/>
      <c r="D864" s="25"/>
      <c r="E864" s="6"/>
      <c r="F864" s="26" t="str">
        <f aca="false">IF(A864="","",MONTH(A864))</f>
        <v/>
      </c>
      <c r="G864" s="26" t="str">
        <f aca="false">IF(A864="","",YEAR(A864))</f>
        <v/>
      </c>
      <c r="H864" s="11" t="str">
        <f aca="false">IF(OR(C864="",B864&lt;&gt;"Pengeluaran"),"",IFERROR(INDEX(Dashboard!$B$18:$B$39,MATCH(C864,Dashboard!$A$18:$A$39,0)),""))</f>
        <v/>
      </c>
    </row>
    <row r="865" customFormat="false" ht="15" hidden="false" customHeight="false" outlineLevel="0" collapsed="false">
      <c r="A865" s="24"/>
      <c r="B865" s="25"/>
      <c r="C865" s="25"/>
      <c r="D865" s="25"/>
      <c r="E865" s="6"/>
      <c r="F865" s="26" t="str">
        <f aca="false">IF(A865="","",MONTH(A865))</f>
        <v/>
      </c>
      <c r="G865" s="26" t="str">
        <f aca="false">IF(A865="","",YEAR(A865))</f>
        <v/>
      </c>
      <c r="H865" s="11" t="str">
        <f aca="false">IF(OR(C865="",B865&lt;&gt;"Pengeluaran"),"",IFERROR(INDEX(Dashboard!$B$18:$B$39,MATCH(C865,Dashboard!$A$18:$A$39,0)),""))</f>
        <v/>
      </c>
    </row>
    <row r="866" customFormat="false" ht="15" hidden="false" customHeight="false" outlineLevel="0" collapsed="false">
      <c r="A866" s="24"/>
      <c r="B866" s="25"/>
      <c r="C866" s="25"/>
      <c r="D866" s="25"/>
      <c r="E866" s="6"/>
      <c r="F866" s="26" t="str">
        <f aca="false">IF(A866="","",MONTH(A866))</f>
        <v/>
      </c>
      <c r="G866" s="26" t="str">
        <f aca="false">IF(A866="","",YEAR(A866))</f>
        <v/>
      </c>
      <c r="H866" s="11" t="str">
        <f aca="false">IF(OR(C866="",B866&lt;&gt;"Pengeluaran"),"",IFERROR(INDEX(Dashboard!$B$18:$B$39,MATCH(C866,Dashboard!$A$18:$A$39,0)),""))</f>
        <v/>
      </c>
    </row>
    <row r="867" customFormat="false" ht="15" hidden="false" customHeight="false" outlineLevel="0" collapsed="false">
      <c r="A867" s="24"/>
      <c r="B867" s="25"/>
      <c r="C867" s="25"/>
      <c r="D867" s="25"/>
      <c r="E867" s="6"/>
      <c r="F867" s="26" t="str">
        <f aca="false">IF(A867="","",MONTH(A867))</f>
        <v/>
      </c>
      <c r="G867" s="26" t="str">
        <f aca="false">IF(A867="","",YEAR(A867))</f>
        <v/>
      </c>
      <c r="H867" s="11" t="str">
        <f aca="false">IF(OR(C867="",B867&lt;&gt;"Pengeluaran"),"",IFERROR(INDEX(Dashboard!$B$18:$B$39,MATCH(C867,Dashboard!$A$18:$A$39,0)),""))</f>
        <v/>
      </c>
    </row>
    <row r="868" customFormat="false" ht="15" hidden="false" customHeight="false" outlineLevel="0" collapsed="false">
      <c r="A868" s="24"/>
      <c r="B868" s="25"/>
      <c r="C868" s="25"/>
      <c r="D868" s="25"/>
      <c r="E868" s="6"/>
      <c r="F868" s="26" t="str">
        <f aca="false">IF(A868="","",MONTH(A868))</f>
        <v/>
      </c>
      <c r="G868" s="26" t="str">
        <f aca="false">IF(A868="","",YEAR(A868))</f>
        <v/>
      </c>
      <c r="H868" s="11" t="str">
        <f aca="false">IF(OR(C868="",B868&lt;&gt;"Pengeluaran"),"",IFERROR(INDEX(Dashboard!$B$18:$B$39,MATCH(C868,Dashboard!$A$18:$A$39,0)),""))</f>
        <v/>
      </c>
    </row>
    <row r="869" customFormat="false" ht="15" hidden="false" customHeight="false" outlineLevel="0" collapsed="false">
      <c r="A869" s="24"/>
      <c r="B869" s="25"/>
      <c r="C869" s="25"/>
      <c r="D869" s="25"/>
      <c r="E869" s="6"/>
      <c r="F869" s="26" t="str">
        <f aca="false">IF(A869="","",MONTH(A869))</f>
        <v/>
      </c>
      <c r="G869" s="26" t="str">
        <f aca="false">IF(A869="","",YEAR(A869))</f>
        <v/>
      </c>
      <c r="H869" s="11" t="str">
        <f aca="false">IF(OR(C869="",B869&lt;&gt;"Pengeluaran"),"",IFERROR(INDEX(Dashboard!$B$18:$B$39,MATCH(C869,Dashboard!$A$18:$A$39,0)),""))</f>
        <v/>
      </c>
    </row>
    <row r="870" customFormat="false" ht="15" hidden="false" customHeight="false" outlineLevel="0" collapsed="false">
      <c r="A870" s="24"/>
      <c r="B870" s="25"/>
      <c r="C870" s="25"/>
      <c r="D870" s="25"/>
      <c r="E870" s="6"/>
      <c r="F870" s="26" t="str">
        <f aca="false">IF(A870="","",MONTH(A870))</f>
        <v/>
      </c>
      <c r="G870" s="26" t="str">
        <f aca="false">IF(A870="","",YEAR(A870))</f>
        <v/>
      </c>
      <c r="H870" s="11" t="str">
        <f aca="false">IF(OR(C870="",B870&lt;&gt;"Pengeluaran"),"",IFERROR(INDEX(Dashboard!$B$18:$B$39,MATCH(C870,Dashboard!$A$18:$A$39,0)),""))</f>
        <v/>
      </c>
    </row>
    <row r="871" customFormat="false" ht="15" hidden="false" customHeight="false" outlineLevel="0" collapsed="false">
      <c r="A871" s="24"/>
      <c r="B871" s="25"/>
      <c r="C871" s="25"/>
      <c r="D871" s="25"/>
      <c r="E871" s="6"/>
      <c r="F871" s="26" t="str">
        <f aca="false">IF(A871="","",MONTH(A871))</f>
        <v/>
      </c>
      <c r="G871" s="26" t="str">
        <f aca="false">IF(A871="","",YEAR(A871))</f>
        <v/>
      </c>
      <c r="H871" s="11" t="str">
        <f aca="false">IF(OR(C871="",B871&lt;&gt;"Pengeluaran"),"",IFERROR(INDEX(Dashboard!$B$18:$B$39,MATCH(C871,Dashboard!$A$18:$A$39,0)),""))</f>
        <v/>
      </c>
    </row>
    <row r="872" customFormat="false" ht="15" hidden="false" customHeight="false" outlineLevel="0" collapsed="false">
      <c r="A872" s="24"/>
      <c r="B872" s="25"/>
      <c r="C872" s="25"/>
      <c r="D872" s="25"/>
      <c r="E872" s="6"/>
      <c r="F872" s="26" t="str">
        <f aca="false">IF(A872="","",MONTH(A872))</f>
        <v/>
      </c>
      <c r="G872" s="26" t="str">
        <f aca="false">IF(A872="","",YEAR(A872))</f>
        <v/>
      </c>
      <c r="H872" s="11" t="str">
        <f aca="false">IF(OR(C872="",B872&lt;&gt;"Pengeluaran"),"",IFERROR(INDEX(Dashboard!$B$18:$B$39,MATCH(C872,Dashboard!$A$18:$A$39,0)),""))</f>
        <v/>
      </c>
    </row>
    <row r="873" customFormat="false" ht="15" hidden="false" customHeight="false" outlineLevel="0" collapsed="false">
      <c r="A873" s="24"/>
      <c r="B873" s="25"/>
      <c r="C873" s="25"/>
      <c r="D873" s="25"/>
      <c r="E873" s="6"/>
      <c r="F873" s="26" t="str">
        <f aca="false">IF(A873="","",MONTH(A873))</f>
        <v/>
      </c>
      <c r="G873" s="26" t="str">
        <f aca="false">IF(A873="","",YEAR(A873))</f>
        <v/>
      </c>
      <c r="H873" s="11" t="str">
        <f aca="false">IF(OR(C873="",B873&lt;&gt;"Pengeluaran"),"",IFERROR(INDEX(Dashboard!$B$18:$B$39,MATCH(C873,Dashboard!$A$18:$A$39,0)),""))</f>
        <v/>
      </c>
    </row>
    <row r="874" customFormat="false" ht="15" hidden="false" customHeight="false" outlineLevel="0" collapsed="false">
      <c r="A874" s="24"/>
      <c r="B874" s="25"/>
      <c r="C874" s="25"/>
      <c r="D874" s="25"/>
      <c r="E874" s="6"/>
      <c r="F874" s="26" t="str">
        <f aca="false">IF(A874="","",MONTH(A874))</f>
        <v/>
      </c>
      <c r="G874" s="26" t="str">
        <f aca="false">IF(A874="","",YEAR(A874))</f>
        <v/>
      </c>
      <c r="H874" s="11" t="str">
        <f aca="false">IF(OR(C874="",B874&lt;&gt;"Pengeluaran"),"",IFERROR(INDEX(Dashboard!$B$18:$B$39,MATCH(C874,Dashboard!$A$18:$A$39,0)),""))</f>
        <v/>
      </c>
    </row>
    <row r="875" customFormat="false" ht="15" hidden="false" customHeight="false" outlineLevel="0" collapsed="false">
      <c r="A875" s="24"/>
      <c r="B875" s="25"/>
      <c r="C875" s="25"/>
      <c r="D875" s="25"/>
      <c r="E875" s="6"/>
      <c r="F875" s="26" t="str">
        <f aca="false">IF(A875="","",MONTH(A875))</f>
        <v/>
      </c>
      <c r="G875" s="26" t="str">
        <f aca="false">IF(A875="","",YEAR(A875))</f>
        <v/>
      </c>
      <c r="H875" s="11" t="str">
        <f aca="false">IF(OR(C875="",B875&lt;&gt;"Pengeluaran"),"",IFERROR(INDEX(Dashboard!$B$18:$B$39,MATCH(C875,Dashboard!$A$18:$A$39,0)),""))</f>
        <v/>
      </c>
    </row>
    <row r="876" customFormat="false" ht="15" hidden="false" customHeight="false" outlineLevel="0" collapsed="false">
      <c r="A876" s="24"/>
      <c r="B876" s="25"/>
      <c r="C876" s="25"/>
      <c r="D876" s="25"/>
      <c r="E876" s="6"/>
      <c r="F876" s="26" t="str">
        <f aca="false">IF(A876="","",MONTH(A876))</f>
        <v/>
      </c>
      <c r="G876" s="26" t="str">
        <f aca="false">IF(A876="","",YEAR(A876))</f>
        <v/>
      </c>
      <c r="H876" s="11" t="str">
        <f aca="false">IF(OR(C876="",B876&lt;&gt;"Pengeluaran"),"",IFERROR(INDEX(Dashboard!$B$18:$B$39,MATCH(C876,Dashboard!$A$18:$A$39,0)),""))</f>
        <v/>
      </c>
    </row>
    <row r="877" customFormat="false" ht="15" hidden="false" customHeight="false" outlineLevel="0" collapsed="false">
      <c r="A877" s="24"/>
      <c r="B877" s="25"/>
      <c r="C877" s="25"/>
      <c r="D877" s="25"/>
      <c r="E877" s="6"/>
      <c r="F877" s="26" t="str">
        <f aca="false">IF(A877="","",MONTH(A877))</f>
        <v/>
      </c>
      <c r="G877" s="26" t="str">
        <f aca="false">IF(A877="","",YEAR(A877))</f>
        <v/>
      </c>
      <c r="H877" s="11" t="str">
        <f aca="false">IF(OR(C877="",B877&lt;&gt;"Pengeluaran"),"",IFERROR(INDEX(Dashboard!$B$18:$B$39,MATCH(C877,Dashboard!$A$18:$A$39,0)),""))</f>
        <v/>
      </c>
    </row>
    <row r="878" customFormat="false" ht="15" hidden="false" customHeight="false" outlineLevel="0" collapsed="false">
      <c r="A878" s="24"/>
      <c r="B878" s="25"/>
      <c r="C878" s="25"/>
      <c r="D878" s="25"/>
      <c r="E878" s="6"/>
      <c r="F878" s="26" t="str">
        <f aca="false">IF(A878="","",MONTH(A878))</f>
        <v/>
      </c>
      <c r="G878" s="26" t="str">
        <f aca="false">IF(A878="","",YEAR(A878))</f>
        <v/>
      </c>
      <c r="H878" s="11" t="str">
        <f aca="false">IF(OR(C878="",B878&lt;&gt;"Pengeluaran"),"",IFERROR(INDEX(Dashboard!$B$18:$B$39,MATCH(C878,Dashboard!$A$18:$A$39,0)),""))</f>
        <v/>
      </c>
    </row>
    <row r="879" customFormat="false" ht="15" hidden="false" customHeight="false" outlineLevel="0" collapsed="false">
      <c r="A879" s="24"/>
      <c r="B879" s="25"/>
      <c r="C879" s="25"/>
      <c r="D879" s="25"/>
      <c r="E879" s="6"/>
      <c r="F879" s="26" t="str">
        <f aca="false">IF(A879="","",MONTH(A879))</f>
        <v/>
      </c>
      <c r="G879" s="26" t="str">
        <f aca="false">IF(A879="","",YEAR(A879))</f>
        <v/>
      </c>
      <c r="H879" s="11" t="str">
        <f aca="false">IF(OR(C879="",B879&lt;&gt;"Pengeluaran"),"",IFERROR(INDEX(Dashboard!$B$18:$B$39,MATCH(C879,Dashboard!$A$18:$A$39,0)),""))</f>
        <v/>
      </c>
    </row>
    <row r="880" customFormat="false" ht="15" hidden="false" customHeight="false" outlineLevel="0" collapsed="false">
      <c r="A880" s="24"/>
      <c r="B880" s="25"/>
      <c r="C880" s="25"/>
      <c r="D880" s="25"/>
      <c r="E880" s="6"/>
      <c r="F880" s="26" t="str">
        <f aca="false">IF(A880="","",MONTH(A880))</f>
        <v/>
      </c>
      <c r="G880" s="26" t="str">
        <f aca="false">IF(A880="","",YEAR(A880))</f>
        <v/>
      </c>
      <c r="H880" s="11" t="str">
        <f aca="false">IF(OR(C880="",B880&lt;&gt;"Pengeluaran"),"",IFERROR(INDEX(Dashboard!$B$18:$B$39,MATCH(C880,Dashboard!$A$18:$A$39,0)),""))</f>
        <v/>
      </c>
    </row>
    <row r="881" customFormat="false" ht="15" hidden="false" customHeight="false" outlineLevel="0" collapsed="false">
      <c r="A881" s="24"/>
      <c r="B881" s="25"/>
      <c r="C881" s="25"/>
      <c r="D881" s="25"/>
      <c r="E881" s="6"/>
      <c r="F881" s="26" t="str">
        <f aca="false">IF(A881="","",MONTH(A881))</f>
        <v/>
      </c>
      <c r="G881" s="26" t="str">
        <f aca="false">IF(A881="","",YEAR(A881))</f>
        <v/>
      </c>
      <c r="H881" s="11" t="str">
        <f aca="false">IF(OR(C881="",B881&lt;&gt;"Pengeluaran"),"",IFERROR(INDEX(Dashboard!$B$18:$B$39,MATCH(C881,Dashboard!$A$18:$A$39,0)),""))</f>
        <v/>
      </c>
    </row>
    <row r="882" customFormat="false" ht="15" hidden="false" customHeight="false" outlineLevel="0" collapsed="false">
      <c r="A882" s="24"/>
      <c r="B882" s="25"/>
      <c r="C882" s="25"/>
      <c r="D882" s="25"/>
      <c r="E882" s="6"/>
      <c r="F882" s="26" t="str">
        <f aca="false">IF(A882="","",MONTH(A882))</f>
        <v/>
      </c>
      <c r="G882" s="26" t="str">
        <f aca="false">IF(A882="","",YEAR(A882))</f>
        <v/>
      </c>
      <c r="H882" s="11" t="str">
        <f aca="false">IF(OR(C882="",B882&lt;&gt;"Pengeluaran"),"",IFERROR(INDEX(Dashboard!$B$18:$B$39,MATCH(C882,Dashboard!$A$18:$A$39,0)),""))</f>
        <v/>
      </c>
    </row>
    <row r="883" customFormat="false" ht="15" hidden="false" customHeight="false" outlineLevel="0" collapsed="false">
      <c r="A883" s="24"/>
      <c r="B883" s="25"/>
      <c r="C883" s="25"/>
      <c r="D883" s="25"/>
      <c r="E883" s="6"/>
      <c r="F883" s="26" t="str">
        <f aca="false">IF(A883="","",MONTH(A883))</f>
        <v/>
      </c>
      <c r="G883" s="26" t="str">
        <f aca="false">IF(A883="","",YEAR(A883))</f>
        <v/>
      </c>
      <c r="H883" s="11" t="str">
        <f aca="false">IF(OR(C883="",B883&lt;&gt;"Pengeluaran"),"",IFERROR(INDEX(Dashboard!$B$18:$B$39,MATCH(C883,Dashboard!$A$18:$A$39,0)),""))</f>
        <v/>
      </c>
    </row>
    <row r="884" customFormat="false" ht="15" hidden="false" customHeight="false" outlineLevel="0" collapsed="false">
      <c r="A884" s="24"/>
      <c r="B884" s="25"/>
      <c r="C884" s="25"/>
      <c r="D884" s="25"/>
      <c r="E884" s="6"/>
      <c r="F884" s="26" t="str">
        <f aca="false">IF(A884="","",MONTH(A884))</f>
        <v/>
      </c>
      <c r="G884" s="26" t="str">
        <f aca="false">IF(A884="","",YEAR(A884))</f>
        <v/>
      </c>
      <c r="H884" s="11" t="str">
        <f aca="false">IF(OR(C884="",B884&lt;&gt;"Pengeluaran"),"",IFERROR(INDEX(Dashboard!$B$18:$B$39,MATCH(C884,Dashboard!$A$18:$A$39,0)),""))</f>
        <v/>
      </c>
    </row>
    <row r="885" customFormat="false" ht="15" hidden="false" customHeight="false" outlineLevel="0" collapsed="false">
      <c r="A885" s="24"/>
      <c r="B885" s="25"/>
      <c r="C885" s="25"/>
      <c r="D885" s="25"/>
      <c r="E885" s="6"/>
      <c r="F885" s="26" t="str">
        <f aca="false">IF(A885="","",MONTH(A885))</f>
        <v/>
      </c>
      <c r="G885" s="26" t="str">
        <f aca="false">IF(A885="","",YEAR(A885))</f>
        <v/>
      </c>
      <c r="H885" s="11" t="str">
        <f aca="false">IF(OR(C885="",B885&lt;&gt;"Pengeluaran"),"",IFERROR(INDEX(Dashboard!$B$18:$B$39,MATCH(C885,Dashboard!$A$18:$A$39,0)),""))</f>
        <v/>
      </c>
    </row>
    <row r="886" customFormat="false" ht="15" hidden="false" customHeight="false" outlineLevel="0" collapsed="false">
      <c r="A886" s="24"/>
      <c r="B886" s="25"/>
      <c r="C886" s="25"/>
      <c r="D886" s="25"/>
      <c r="E886" s="6"/>
      <c r="F886" s="26" t="str">
        <f aca="false">IF(A886="","",MONTH(A886))</f>
        <v/>
      </c>
      <c r="G886" s="26" t="str">
        <f aca="false">IF(A886="","",YEAR(A886))</f>
        <v/>
      </c>
      <c r="H886" s="11" t="str">
        <f aca="false">IF(OR(C886="",B886&lt;&gt;"Pengeluaran"),"",IFERROR(INDEX(Dashboard!$B$18:$B$39,MATCH(C886,Dashboard!$A$18:$A$39,0)),""))</f>
        <v/>
      </c>
    </row>
    <row r="887" customFormat="false" ht="15" hidden="false" customHeight="false" outlineLevel="0" collapsed="false">
      <c r="A887" s="24"/>
      <c r="B887" s="25"/>
      <c r="C887" s="25"/>
      <c r="D887" s="25"/>
      <c r="E887" s="6"/>
      <c r="F887" s="26" t="str">
        <f aca="false">IF(A887="","",MONTH(A887))</f>
        <v/>
      </c>
      <c r="G887" s="26" t="str">
        <f aca="false">IF(A887="","",YEAR(A887))</f>
        <v/>
      </c>
      <c r="H887" s="11" t="str">
        <f aca="false">IF(OR(C887="",B887&lt;&gt;"Pengeluaran"),"",IFERROR(INDEX(Dashboard!$B$18:$B$39,MATCH(C887,Dashboard!$A$18:$A$39,0)),""))</f>
        <v/>
      </c>
    </row>
    <row r="888" customFormat="false" ht="15" hidden="false" customHeight="false" outlineLevel="0" collapsed="false">
      <c r="A888" s="24"/>
      <c r="B888" s="25"/>
      <c r="C888" s="25"/>
      <c r="D888" s="25"/>
      <c r="E888" s="6"/>
      <c r="F888" s="26" t="str">
        <f aca="false">IF(A888="","",MONTH(A888))</f>
        <v/>
      </c>
      <c r="G888" s="26" t="str">
        <f aca="false">IF(A888="","",YEAR(A888))</f>
        <v/>
      </c>
      <c r="H888" s="11" t="str">
        <f aca="false">IF(OR(C888="",B888&lt;&gt;"Pengeluaran"),"",IFERROR(INDEX(Dashboard!$B$18:$B$39,MATCH(C888,Dashboard!$A$18:$A$39,0)),""))</f>
        <v/>
      </c>
    </row>
    <row r="889" customFormat="false" ht="15" hidden="false" customHeight="false" outlineLevel="0" collapsed="false">
      <c r="A889" s="24"/>
      <c r="B889" s="25"/>
      <c r="C889" s="25"/>
      <c r="D889" s="25"/>
      <c r="E889" s="6"/>
      <c r="F889" s="26" t="str">
        <f aca="false">IF(A889="","",MONTH(A889))</f>
        <v/>
      </c>
      <c r="G889" s="26" t="str">
        <f aca="false">IF(A889="","",YEAR(A889))</f>
        <v/>
      </c>
      <c r="H889" s="11" t="str">
        <f aca="false">IF(OR(C889="",B889&lt;&gt;"Pengeluaran"),"",IFERROR(INDEX(Dashboard!$B$18:$B$39,MATCH(C889,Dashboard!$A$18:$A$39,0)),""))</f>
        <v/>
      </c>
    </row>
    <row r="890" customFormat="false" ht="15" hidden="false" customHeight="false" outlineLevel="0" collapsed="false">
      <c r="A890" s="24"/>
      <c r="B890" s="25"/>
      <c r="C890" s="25"/>
      <c r="D890" s="25"/>
      <c r="E890" s="6"/>
      <c r="F890" s="26" t="str">
        <f aca="false">IF(A890="","",MONTH(A890))</f>
        <v/>
      </c>
      <c r="G890" s="26" t="str">
        <f aca="false">IF(A890="","",YEAR(A890))</f>
        <v/>
      </c>
      <c r="H890" s="11" t="str">
        <f aca="false">IF(OR(C890="",B890&lt;&gt;"Pengeluaran"),"",IFERROR(INDEX(Dashboard!$B$18:$B$39,MATCH(C890,Dashboard!$A$18:$A$39,0)),""))</f>
        <v/>
      </c>
    </row>
    <row r="891" customFormat="false" ht="15" hidden="false" customHeight="false" outlineLevel="0" collapsed="false">
      <c r="A891" s="24"/>
      <c r="B891" s="25"/>
      <c r="C891" s="25"/>
      <c r="D891" s="25"/>
      <c r="E891" s="6"/>
      <c r="F891" s="26" t="str">
        <f aca="false">IF(A891="","",MONTH(A891))</f>
        <v/>
      </c>
      <c r="G891" s="26" t="str">
        <f aca="false">IF(A891="","",YEAR(A891))</f>
        <v/>
      </c>
      <c r="H891" s="11" t="str">
        <f aca="false">IF(OR(C891="",B891&lt;&gt;"Pengeluaran"),"",IFERROR(INDEX(Dashboard!$B$18:$B$39,MATCH(C891,Dashboard!$A$18:$A$39,0)),""))</f>
        <v/>
      </c>
    </row>
    <row r="892" customFormat="false" ht="15" hidden="false" customHeight="false" outlineLevel="0" collapsed="false">
      <c r="A892" s="24"/>
      <c r="B892" s="25"/>
      <c r="C892" s="25"/>
      <c r="D892" s="25"/>
      <c r="E892" s="6"/>
      <c r="F892" s="26" t="str">
        <f aca="false">IF(A892="","",MONTH(A892))</f>
        <v/>
      </c>
      <c r="G892" s="26" t="str">
        <f aca="false">IF(A892="","",YEAR(A892))</f>
        <v/>
      </c>
      <c r="H892" s="11" t="str">
        <f aca="false">IF(OR(C892="",B892&lt;&gt;"Pengeluaran"),"",IFERROR(INDEX(Dashboard!$B$18:$B$39,MATCH(C892,Dashboard!$A$18:$A$39,0)),""))</f>
        <v/>
      </c>
    </row>
    <row r="893" customFormat="false" ht="15" hidden="false" customHeight="false" outlineLevel="0" collapsed="false">
      <c r="A893" s="24"/>
      <c r="B893" s="25"/>
      <c r="C893" s="25"/>
      <c r="D893" s="25"/>
      <c r="E893" s="6"/>
      <c r="F893" s="26" t="str">
        <f aca="false">IF(A893="","",MONTH(A893))</f>
        <v/>
      </c>
      <c r="G893" s="26" t="str">
        <f aca="false">IF(A893="","",YEAR(A893))</f>
        <v/>
      </c>
      <c r="H893" s="11" t="str">
        <f aca="false">IF(OR(C893="",B893&lt;&gt;"Pengeluaran"),"",IFERROR(INDEX(Dashboard!$B$18:$B$39,MATCH(C893,Dashboard!$A$18:$A$39,0)),""))</f>
        <v/>
      </c>
    </row>
    <row r="894" customFormat="false" ht="15" hidden="false" customHeight="false" outlineLevel="0" collapsed="false">
      <c r="A894" s="24"/>
      <c r="B894" s="25"/>
      <c r="C894" s="25"/>
      <c r="D894" s="25"/>
      <c r="E894" s="6"/>
      <c r="F894" s="26" t="str">
        <f aca="false">IF(A894="","",MONTH(A894))</f>
        <v/>
      </c>
      <c r="G894" s="26" t="str">
        <f aca="false">IF(A894="","",YEAR(A894))</f>
        <v/>
      </c>
      <c r="H894" s="11" t="str">
        <f aca="false">IF(OR(C894="",B894&lt;&gt;"Pengeluaran"),"",IFERROR(INDEX(Dashboard!$B$18:$B$39,MATCH(C894,Dashboard!$A$18:$A$39,0)),""))</f>
        <v/>
      </c>
    </row>
    <row r="895" customFormat="false" ht="15" hidden="false" customHeight="false" outlineLevel="0" collapsed="false">
      <c r="A895" s="24"/>
      <c r="B895" s="25"/>
      <c r="C895" s="25"/>
      <c r="D895" s="25"/>
      <c r="E895" s="6"/>
      <c r="F895" s="26" t="str">
        <f aca="false">IF(A895="","",MONTH(A895))</f>
        <v/>
      </c>
      <c r="G895" s="26" t="str">
        <f aca="false">IF(A895="","",YEAR(A895))</f>
        <v/>
      </c>
      <c r="H895" s="11" t="str">
        <f aca="false">IF(OR(C895="",B895&lt;&gt;"Pengeluaran"),"",IFERROR(INDEX(Dashboard!$B$18:$B$39,MATCH(C895,Dashboard!$A$18:$A$39,0)),""))</f>
        <v/>
      </c>
    </row>
    <row r="896" customFormat="false" ht="15" hidden="false" customHeight="false" outlineLevel="0" collapsed="false">
      <c r="A896" s="24"/>
      <c r="B896" s="25"/>
      <c r="C896" s="25"/>
      <c r="D896" s="25"/>
      <c r="E896" s="6"/>
      <c r="F896" s="26" t="str">
        <f aca="false">IF(A896="","",MONTH(A896))</f>
        <v/>
      </c>
      <c r="G896" s="26" t="str">
        <f aca="false">IF(A896="","",YEAR(A896))</f>
        <v/>
      </c>
      <c r="H896" s="11" t="str">
        <f aca="false">IF(OR(C896="",B896&lt;&gt;"Pengeluaran"),"",IFERROR(INDEX(Dashboard!$B$18:$B$39,MATCH(C896,Dashboard!$A$18:$A$39,0)),""))</f>
        <v/>
      </c>
    </row>
    <row r="897" customFormat="false" ht="15" hidden="false" customHeight="false" outlineLevel="0" collapsed="false">
      <c r="A897" s="24"/>
      <c r="B897" s="25"/>
      <c r="C897" s="25"/>
      <c r="D897" s="25"/>
      <c r="E897" s="6"/>
      <c r="F897" s="26" t="str">
        <f aca="false">IF(A897="","",MONTH(A897))</f>
        <v/>
      </c>
      <c r="G897" s="26" t="str">
        <f aca="false">IF(A897="","",YEAR(A897))</f>
        <v/>
      </c>
      <c r="H897" s="11" t="str">
        <f aca="false">IF(OR(C897="",B897&lt;&gt;"Pengeluaran"),"",IFERROR(INDEX(Dashboard!$B$18:$B$39,MATCH(C897,Dashboard!$A$18:$A$39,0)),""))</f>
        <v/>
      </c>
    </row>
    <row r="898" customFormat="false" ht="15" hidden="false" customHeight="false" outlineLevel="0" collapsed="false">
      <c r="A898" s="24"/>
      <c r="B898" s="25"/>
      <c r="C898" s="25"/>
      <c r="D898" s="25"/>
      <c r="E898" s="6"/>
      <c r="F898" s="26" t="str">
        <f aca="false">IF(A898="","",MONTH(A898))</f>
        <v/>
      </c>
      <c r="G898" s="26" t="str">
        <f aca="false">IF(A898="","",YEAR(A898))</f>
        <v/>
      </c>
      <c r="H898" s="11" t="str">
        <f aca="false">IF(OR(C898="",B898&lt;&gt;"Pengeluaran"),"",IFERROR(INDEX(Dashboard!$B$18:$B$39,MATCH(C898,Dashboard!$A$18:$A$39,0)),""))</f>
        <v/>
      </c>
    </row>
    <row r="899" customFormat="false" ht="15" hidden="false" customHeight="false" outlineLevel="0" collapsed="false">
      <c r="A899" s="24"/>
      <c r="B899" s="25"/>
      <c r="C899" s="25"/>
      <c r="D899" s="25"/>
      <c r="E899" s="6"/>
      <c r="F899" s="26" t="str">
        <f aca="false">IF(A899="","",MONTH(A899))</f>
        <v/>
      </c>
      <c r="G899" s="26" t="str">
        <f aca="false">IF(A899="","",YEAR(A899))</f>
        <v/>
      </c>
      <c r="H899" s="11" t="str">
        <f aca="false">IF(OR(C899="",B899&lt;&gt;"Pengeluaran"),"",IFERROR(INDEX(Dashboard!$B$18:$B$39,MATCH(C899,Dashboard!$A$18:$A$39,0)),""))</f>
        <v/>
      </c>
    </row>
    <row r="900" customFormat="false" ht="15" hidden="false" customHeight="false" outlineLevel="0" collapsed="false">
      <c r="A900" s="24"/>
      <c r="B900" s="25"/>
      <c r="C900" s="25"/>
      <c r="D900" s="25"/>
      <c r="E900" s="6"/>
      <c r="F900" s="26" t="str">
        <f aca="false">IF(A900="","",MONTH(A900))</f>
        <v/>
      </c>
      <c r="G900" s="26" t="str">
        <f aca="false">IF(A900="","",YEAR(A900))</f>
        <v/>
      </c>
      <c r="H900" s="11" t="str">
        <f aca="false">IF(OR(C900="",B900&lt;&gt;"Pengeluaran"),"",IFERROR(INDEX(Dashboard!$B$18:$B$39,MATCH(C900,Dashboard!$A$18:$A$39,0)),""))</f>
        <v/>
      </c>
    </row>
    <row r="901" customFormat="false" ht="15" hidden="false" customHeight="false" outlineLevel="0" collapsed="false">
      <c r="A901" s="24"/>
      <c r="B901" s="25"/>
      <c r="C901" s="25"/>
      <c r="D901" s="25"/>
      <c r="E901" s="6"/>
      <c r="F901" s="26" t="str">
        <f aca="false">IF(A901="","",MONTH(A901))</f>
        <v/>
      </c>
      <c r="G901" s="26" t="str">
        <f aca="false">IF(A901="","",YEAR(A901))</f>
        <v/>
      </c>
      <c r="H901" s="11" t="str">
        <f aca="false">IF(OR(C901="",B901&lt;&gt;"Pengeluaran"),"",IFERROR(INDEX(Dashboard!$B$18:$B$39,MATCH(C901,Dashboard!$A$18:$A$39,0)),""))</f>
        <v/>
      </c>
    </row>
    <row r="902" customFormat="false" ht="15" hidden="false" customHeight="false" outlineLevel="0" collapsed="false">
      <c r="A902" s="24"/>
      <c r="B902" s="25"/>
      <c r="C902" s="25"/>
      <c r="D902" s="25"/>
      <c r="E902" s="6"/>
      <c r="F902" s="26" t="str">
        <f aca="false">IF(A902="","",MONTH(A902))</f>
        <v/>
      </c>
      <c r="G902" s="26" t="str">
        <f aca="false">IF(A902="","",YEAR(A902))</f>
        <v/>
      </c>
      <c r="H902" s="11" t="str">
        <f aca="false">IF(OR(C902="",B902&lt;&gt;"Pengeluaran"),"",IFERROR(INDEX(Dashboard!$B$18:$B$39,MATCH(C902,Dashboard!$A$18:$A$39,0)),""))</f>
        <v/>
      </c>
    </row>
    <row r="903" customFormat="false" ht="15" hidden="false" customHeight="false" outlineLevel="0" collapsed="false">
      <c r="A903" s="24"/>
      <c r="B903" s="25"/>
      <c r="C903" s="25"/>
      <c r="D903" s="25"/>
      <c r="E903" s="6"/>
      <c r="F903" s="26" t="str">
        <f aca="false">IF(A903="","",MONTH(A903))</f>
        <v/>
      </c>
      <c r="G903" s="26" t="str">
        <f aca="false">IF(A903="","",YEAR(A903))</f>
        <v/>
      </c>
      <c r="H903" s="11" t="str">
        <f aca="false">IF(OR(C903="",B903&lt;&gt;"Pengeluaran"),"",IFERROR(INDEX(Dashboard!$B$18:$B$39,MATCH(C903,Dashboard!$A$18:$A$39,0)),""))</f>
        <v/>
      </c>
    </row>
    <row r="904" customFormat="false" ht="15" hidden="false" customHeight="false" outlineLevel="0" collapsed="false">
      <c r="A904" s="24"/>
      <c r="B904" s="25"/>
      <c r="C904" s="25"/>
      <c r="D904" s="25"/>
      <c r="E904" s="6"/>
      <c r="F904" s="26" t="str">
        <f aca="false">IF(A904="","",MONTH(A904))</f>
        <v/>
      </c>
      <c r="G904" s="26" t="str">
        <f aca="false">IF(A904="","",YEAR(A904))</f>
        <v/>
      </c>
      <c r="H904" s="11" t="str">
        <f aca="false">IF(OR(C904="",B904&lt;&gt;"Pengeluaran"),"",IFERROR(INDEX(Dashboard!$B$18:$B$39,MATCH(C904,Dashboard!$A$18:$A$39,0)),""))</f>
        <v/>
      </c>
    </row>
    <row r="905" customFormat="false" ht="15" hidden="false" customHeight="false" outlineLevel="0" collapsed="false">
      <c r="A905" s="24"/>
      <c r="B905" s="25"/>
      <c r="C905" s="25"/>
      <c r="D905" s="25"/>
      <c r="E905" s="6"/>
      <c r="F905" s="26" t="str">
        <f aca="false">IF(A905="","",MONTH(A905))</f>
        <v/>
      </c>
      <c r="G905" s="26" t="str">
        <f aca="false">IF(A905="","",YEAR(A905))</f>
        <v/>
      </c>
      <c r="H905" s="11" t="str">
        <f aca="false">IF(OR(C905="",B905&lt;&gt;"Pengeluaran"),"",IFERROR(INDEX(Dashboard!$B$18:$B$39,MATCH(C905,Dashboard!$A$18:$A$39,0)),""))</f>
        <v/>
      </c>
    </row>
    <row r="906" customFormat="false" ht="15" hidden="false" customHeight="false" outlineLevel="0" collapsed="false">
      <c r="A906" s="24"/>
      <c r="B906" s="25"/>
      <c r="C906" s="25"/>
      <c r="D906" s="25"/>
      <c r="E906" s="6"/>
      <c r="F906" s="26" t="str">
        <f aca="false">IF(A906="","",MONTH(A906))</f>
        <v/>
      </c>
      <c r="G906" s="26" t="str">
        <f aca="false">IF(A906="","",YEAR(A906))</f>
        <v/>
      </c>
      <c r="H906" s="11" t="str">
        <f aca="false">IF(OR(C906="",B906&lt;&gt;"Pengeluaran"),"",IFERROR(INDEX(Dashboard!$B$18:$B$39,MATCH(C906,Dashboard!$A$18:$A$39,0)),""))</f>
        <v/>
      </c>
    </row>
    <row r="907" customFormat="false" ht="15" hidden="false" customHeight="false" outlineLevel="0" collapsed="false">
      <c r="A907" s="24"/>
      <c r="B907" s="25"/>
      <c r="C907" s="25"/>
      <c r="D907" s="25"/>
      <c r="E907" s="6"/>
      <c r="F907" s="26" t="str">
        <f aca="false">IF(A907="","",MONTH(A907))</f>
        <v/>
      </c>
      <c r="G907" s="26" t="str">
        <f aca="false">IF(A907="","",YEAR(A907))</f>
        <v/>
      </c>
      <c r="H907" s="11" t="str">
        <f aca="false">IF(OR(C907="",B907&lt;&gt;"Pengeluaran"),"",IFERROR(INDEX(Dashboard!$B$18:$B$39,MATCH(C907,Dashboard!$A$18:$A$39,0)),""))</f>
        <v/>
      </c>
    </row>
    <row r="908" customFormat="false" ht="15" hidden="false" customHeight="false" outlineLevel="0" collapsed="false">
      <c r="A908" s="24"/>
      <c r="B908" s="25"/>
      <c r="C908" s="25"/>
      <c r="D908" s="25"/>
      <c r="E908" s="6"/>
      <c r="F908" s="26" t="str">
        <f aca="false">IF(A908="","",MONTH(A908))</f>
        <v/>
      </c>
      <c r="G908" s="26" t="str">
        <f aca="false">IF(A908="","",YEAR(A908))</f>
        <v/>
      </c>
      <c r="H908" s="11" t="str">
        <f aca="false">IF(OR(C908="",B908&lt;&gt;"Pengeluaran"),"",IFERROR(INDEX(Dashboard!$B$18:$B$39,MATCH(C908,Dashboard!$A$18:$A$39,0)),""))</f>
        <v/>
      </c>
    </row>
    <row r="909" customFormat="false" ht="15" hidden="false" customHeight="false" outlineLevel="0" collapsed="false">
      <c r="A909" s="24"/>
      <c r="B909" s="25"/>
      <c r="C909" s="25"/>
      <c r="D909" s="25"/>
      <c r="E909" s="6"/>
      <c r="F909" s="26" t="str">
        <f aca="false">IF(A909="","",MONTH(A909))</f>
        <v/>
      </c>
      <c r="G909" s="26" t="str">
        <f aca="false">IF(A909="","",YEAR(A909))</f>
        <v/>
      </c>
      <c r="H909" s="11" t="str">
        <f aca="false">IF(OR(C909="",B909&lt;&gt;"Pengeluaran"),"",IFERROR(INDEX(Dashboard!$B$18:$B$39,MATCH(C909,Dashboard!$A$18:$A$39,0)),""))</f>
        <v/>
      </c>
    </row>
    <row r="910" customFormat="false" ht="15" hidden="false" customHeight="false" outlineLevel="0" collapsed="false">
      <c r="A910" s="24"/>
      <c r="B910" s="25"/>
      <c r="C910" s="25"/>
      <c r="D910" s="25"/>
      <c r="E910" s="6"/>
      <c r="F910" s="26" t="str">
        <f aca="false">IF(A910="","",MONTH(A910))</f>
        <v/>
      </c>
      <c r="G910" s="26" t="str">
        <f aca="false">IF(A910="","",YEAR(A910))</f>
        <v/>
      </c>
      <c r="H910" s="11" t="str">
        <f aca="false">IF(OR(C910="",B910&lt;&gt;"Pengeluaran"),"",IFERROR(INDEX(Dashboard!$B$18:$B$39,MATCH(C910,Dashboard!$A$18:$A$39,0)),""))</f>
        <v/>
      </c>
    </row>
    <row r="911" customFormat="false" ht="15" hidden="false" customHeight="false" outlineLevel="0" collapsed="false">
      <c r="A911" s="24"/>
      <c r="B911" s="25"/>
      <c r="C911" s="25"/>
      <c r="D911" s="25"/>
      <c r="E911" s="6"/>
      <c r="F911" s="26" t="str">
        <f aca="false">IF(A911="","",MONTH(A911))</f>
        <v/>
      </c>
      <c r="G911" s="26" t="str">
        <f aca="false">IF(A911="","",YEAR(A911))</f>
        <v/>
      </c>
      <c r="H911" s="11" t="str">
        <f aca="false">IF(OR(C911="",B911&lt;&gt;"Pengeluaran"),"",IFERROR(INDEX(Dashboard!$B$18:$B$39,MATCH(C911,Dashboard!$A$18:$A$39,0)),""))</f>
        <v/>
      </c>
    </row>
    <row r="912" customFormat="false" ht="15" hidden="false" customHeight="false" outlineLevel="0" collapsed="false">
      <c r="A912" s="24"/>
      <c r="B912" s="25"/>
      <c r="C912" s="25"/>
      <c r="D912" s="25"/>
      <c r="E912" s="6"/>
      <c r="F912" s="26" t="str">
        <f aca="false">IF(A912="","",MONTH(A912))</f>
        <v/>
      </c>
      <c r="G912" s="26" t="str">
        <f aca="false">IF(A912="","",YEAR(A912))</f>
        <v/>
      </c>
      <c r="H912" s="11" t="str">
        <f aca="false">IF(OR(C912="",B912&lt;&gt;"Pengeluaran"),"",IFERROR(INDEX(Dashboard!$B$18:$B$39,MATCH(C912,Dashboard!$A$18:$A$39,0)),""))</f>
        <v/>
      </c>
    </row>
    <row r="913" customFormat="false" ht="15" hidden="false" customHeight="false" outlineLevel="0" collapsed="false">
      <c r="A913" s="24"/>
      <c r="B913" s="25"/>
      <c r="C913" s="25"/>
      <c r="D913" s="25"/>
      <c r="E913" s="6"/>
      <c r="F913" s="26" t="str">
        <f aca="false">IF(A913="","",MONTH(A913))</f>
        <v/>
      </c>
      <c r="G913" s="26" t="str">
        <f aca="false">IF(A913="","",YEAR(A913))</f>
        <v/>
      </c>
      <c r="H913" s="11" t="str">
        <f aca="false">IF(OR(C913="",B913&lt;&gt;"Pengeluaran"),"",IFERROR(INDEX(Dashboard!$B$18:$B$39,MATCH(C913,Dashboard!$A$18:$A$39,0)),""))</f>
        <v/>
      </c>
    </row>
    <row r="914" customFormat="false" ht="15" hidden="false" customHeight="false" outlineLevel="0" collapsed="false">
      <c r="A914" s="24"/>
      <c r="B914" s="25"/>
      <c r="C914" s="25"/>
      <c r="D914" s="25"/>
      <c r="E914" s="6"/>
      <c r="F914" s="26" t="str">
        <f aca="false">IF(A914="","",MONTH(A914))</f>
        <v/>
      </c>
      <c r="G914" s="26" t="str">
        <f aca="false">IF(A914="","",YEAR(A914))</f>
        <v/>
      </c>
      <c r="H914" s="11" t="str">
        <f aca="false">IF(OR(C914="",B914&lt;&gt;"Pengeluaran"),"",IFERROR(INDEX(Dashboard!$B$18:$B$39,MATCH(C914,Dashboard!$A$18:$A$39,0)),""))</f>
        <v/>
      </c>
    </row>
    <row r="915" customFormat="false" ht="15" hidden="false" customHeight="false" outlineLevel="0" collapsed="false">
      <c r="A915" s="24"/>
      <c r="B915" s="25"/>
      <c r="C915" s="25"/>
      <c r="D915" s="25"/>
      <c r="E915" s="6"/>
      <c r="F915" s="26" t="str">
        <f aca="false">IF(A915="","",MONTH(A915))</f>
        <v/>
      </c>
      <c r="G915" s="26" t="str">
        <f aca="false">IF(A915="","",YEAR(A915))</f>
        <v/>
      </c>
      <c r="H915" s="11" t="str">
        <f aca="false">IF(OR(C915="",B915&lt;&gt;"Pengeluaran"),"",IFERROR(INDEX(Dashboard!$B$18:$B$39,MATCH(C915,Dashboard!$A$18:$A$39,0)),""))</f>
        <v/>
      </c>
    </row>
    <row r="916" customFormat="false" ht="15" hidden="false" customHeight="false" outlineLevel="0" collapsed="false">
      <c r="A916" s="24"/>
      <c r="B916" s="25"/>
      <c r="C916" s="25"/>
      <c r="D916" s="25"/>
      <c r="E916" s="6"/>
      <c r="F916" s="26" t="str">
        <f aca="false">IF(A916="","",MONTH(A916))</f>
        <v/>
      </c>
      <c r="G916" s="26" t="str">
        <f aca="false">IF(A916="","",YEAR(A916))</f>
        <v/>
      </c>
      <c r="H916" s="11" t="str">
        <f aca="false">IF(OR(C916="",B916&lt;&gt;"Pengeluaran"),"",IFERROR(INDEX(Dashboard!$B$18:$B$39,MATCH(C916,Dashboard!$A$18:$A$39,0)),""))</f>
        <v/>
      </c>
    </row>
    <row r="917" customFormat="false" ht="15" hidden="false" customHeight="false" outlineLevel="0" collapsed="false">
      <c r="A917" s="24"/>
      <c r="B917" s="25"/>
      <c r="C917" s="25"/>
      <c r="D917" s="25"/>
      <c r="E917" s="6"/>
      <c r="F917" s="26" t="str">
        <f aca="false">IF(A917="","",MONTH(A917))</f>
        <v/>
      </c>
      <c r="G917" s="26" t="str">
        <f aca="false">IF(A917="","",YEAR(A917))</f>
        <v/>
      </c>
      <c r="H917" s="11" t="str">
        <f aca="false">IF(OR(C917="",B917&lt;&gt;"Pengeluaran"),"",IFERROR(INDEX(Dashboard!$B$18:$B$39,MATCH(C917,Dashboard!$A$18:$A$39,0)),""))</f>
        <v/>
      </c>
    </row>
    <row r="918" customFormat="false" ht="15" hidden="false" customHeight="false" outlineLevel="0" collapsed="false">
      <c r="A918" s="24"/>
      <c r="B918" s="25"/>
      <c r="C918" s="25"/>
      <c r="D918" s="25"/>
      <c r="E918" s="6"/>
      <c r="F918" s="26" t="str">
        <f aca="false">IF(A918="","",MONTH(A918))</f>
        <v/>
      </c>
      <c r="G918" s="26" t="str">
        <f aca="false">IF(A918="","",YEAR(A918))</f>
        <v/>
      </c>
      <c r="H918" s="11" t="str">
        <f aca="false">IF(OR(C918="",B918&lt;&gt;"Pengeluaran"),"",IFERROR(INDEX(Dashboard!$B$18:$B$39,MATCH(C918,Dashboard!$A$18:$A$39,0)),""))</f>
        <v/>
      </c>
    </row>
    <row r="919" customFormat="false" ht="15" hidden="false" customHeight="false" outlineLevel="0" collapsed="false">
      <c r="A919" s="24"/>
      <c r="B919" s="25"/>
      <c r="C919" s="25"/>
      <c r="D919" s="25"/>
      <c r="E919" s="6"/>
      <c r="F919" s="26" t="str">
        <f aca="false">IF(A919="","",MONTH(A919))</f>
        <v/>
      </c>
      <c r="G919" s="26" t="str">
        <f aca="false">IF(A919="","",YEAR(A919))</f>
        <v/>
      </c>
      <c r="H919" s="11" t="str">
        <f aca="false">IF(OR(C919="",B919&lt;&gt;"Pengeluaran"),"",IFERROR(INDEX(Dashboard!$B$18:$B$39,MATCH(C919,Dashboard!$A$18:$A$39,0)),""))</f>
        <v/>
      </c>
    </row>
    <row r="920" customFormat="false" ht="15" hidden="false" customHeight="false" outlineLevel="0" collapsed="false">
      <c r="A920" s="24"/>
      <c r="B920" s="25"/>
      <c r="C920" s="25"/>
      <c r="D920" s="25"/>
      <c r="E920" s="6"/>
      <c r="F920" s="26" t="str">
        <f aca="false">IF(A920="","",MONTH(A920))</f>
        <v/>
      </c>
      <c r="G920" s="26" t="str">
        <f aca="false">IF(A920="","",YEAR(A920))</f>
        <v/>
      </c>
      <c r="H920" s="11" t="str">
        <f aca="false">IF(OR(C920="",B920&lt;&gt;"Pengeluaran"),"",IFERROR(INDEX(Dashboard!$B$18:$B$39,MATCH(C920,Dashboard!$A$18:$A$39,0)),""))</f>
        <v/>
      </c>
    </row>
    <row r="921" customFormat="false" ht="15" hidden="false" customHeight="false" outlineLevel="0" collapsed="false">
      <c r="A921" s="24"/>
      <c r="B921" s="25"/>
      <c r="C921" s="25"/>
      <c r="D921" s="25"/>
      <c r="E921" s="6"/>
      <c r="F921" s="26" t="str">
        <f aca="false">IF(A921="","",MONTH(A921))</f>
        <v/>
      </c>
      <c r="G921" s="26" t="str">
        <f aca="false">IF(A921="","",YEAR(A921))</f>
        <v/>
      </c>
      <c r="H921" s="11" t="str">
        <f aca="false">IF(OR(C921="",B921&lt;&gt;"Pengeluaran"),"",IFERROR(INDEX(Dashboard!$B$18:$B$39,MATCH(C921,Dashboard!$A$18:$A$39,0)),""))</f>
        <v/>
      </c>
    </row>
    <row r="922" customFormat="false" ht="15" hidden="false" customHeight="false" outlineLevel="0" collapsed="false">
      <c r="A922" s="24"/>
      <c r="B922" s="25"/>
      <c r="C922" s="25"/>
      <c r="D922" s="25"/>
      <c r="E922" s="6"/>
      <c r="F922" s="26" t="str">
        <f aca="false">IF(A922="","",MONTH(A922))</f>
        <v/>
      </c>
      <c r="G922" s="26" t="str">
        <f aca="false">IF(A922="","",YEAR(A922))</f>
        <v/>
      </c>
      <c r="H922" s="11" t="str">
        <f aca="false">IF(OR(C922="",B922&lt;&gt;"Pengeluaran"),"",IFERROR(INDEX(Dashboard!$B$18:$B$39,MATCH(C922,Dashboard!$A$18:$A$39,0)),""))</f>
        <v/>
      </c>
    </row>
    <row r="923" customFormat="false" ht="15" hidden="false" customHeight="false" outlineLevel="0" collapsed="false">
      <c r="A923" s="24"/>
      <c r="B923" s="25"/>
      <c r="C923" s="25"/>
      <c r="D923" s="25"/>
      <c r="E923" s="6"/>
      <c r="F923" s="26" t="str">
        <f aca="false">IF(A923="","",MONTH(A923))</f>
        <v/>
      </c>
      <c r="G923" s="26" t="str">
        <f aca="false">IF(A923="","",YEAR(A923))</f>
        <v/>
      </c>
      <c r="H923" s="11" t="str">
        <f aca="false">IF(OR(C923="",B923&lt;&gt;"Pengeluaran"),"",IFERROR(INDEX(Dashboard!$B$18:$B$39,MATCH(C923,Dashboard!$A$18:$A$39,0)),""))</f>
        <v/>
      </c>
    </row>
    <row r="924" customFormat="false" ht="15" hidden="false" customHeight="false" outlineLevel="0" collapsed="false">
      <c r="A924" s="24"/>
      <c r="B924" s="25"/>
      <c r="C924" s="25"/>
      <c r="D924" s="25"/>
      <c r="E924" s="6"/>
      <c r="F924" s="26" t="str">
        <f aca="false">IF(A924="","",MONTH(A924))</f>
        <v/>
      </c>
      <c r="G924" s="26" t="str">
        <f aca="false">IF(A924="","",YEAR(A924))</f>
        <v/>
      </c>
      <c r="H924" s="11" t="str">
        <f aca="false">IF(OR(C924="",B924&lt;&gt;"Pengeluaran"),"",IFERROR(INDEX(Dashboard!$B$18:$B$39,MATCH(C924,Dashboard!$A$18:$A$39,0)),""))</f>
        <v/>
      </c>
    </row>
    <row r="925" customFormat="false" ht="15" hidden="false" customHeight="false" outlineLevel="0" collapsed="false">
      <c r="A925" s="24"/>
      <c r="B925" s="25"/>
      <c r="C925" s="25"/>
      <c r="D925" s="25"/>
      <c r="E925" s="6"/>
      <c r="F925" s="26" t="str">
        <f aca="false">IF(A925="","",MONTH(A925))</f>
        <v/>
      </c>
      <c r="G925" s="26" t="str">
        <f aca="false">IF(A925="","",YEAR(A925))</f>
        <v/>
      </c>
      <c r="H925" s="11" t="str">
        <f aca="false">IF(OR(C925="",B925&lt;&gt;"Pengeluaran"),"",IFERROR(INDEX(Dashboard!$B$18:$B$39,MATCH(C925,Dashboard!$A$18:$A$39,0)),""))</f>
        <v/>
      </c>
    </row>
    <row r="926" customFormat="false" ht="15" hidden="false" customHeight="false" outlineLevel="0" collapsed="false">
      <c r="A926" s="24"/>
      <c r="B926" s="25"/>
      <c r="C926" s="25"/>
      <c r="D926" s="25"/>
      <c r="E926" s="6"/>
      <c r="F926" s="26" t="str">
        <f aca="false">IF(A926="","",MONTH(A926))</f>
        <v/>
      </c>
      <c r="G926" s="26" t="str">
        <f aca="false">IF(A926="","",YEAR(A926))</f>
        <v/>
      </c>
      <c r="H926" s="11" t="str">
        <f aca="false">IF(OR(C926="",B926&lt;&gt;"Pengeluaran"),"",IFERROR(INDEX(Dashboard!$B$18:$B$39,MATCH(C926,Dashboard!$A$18:$A$39,0)),""))</f>
        <v/>
      </c>
    </row>
    <row r="927" customFormat="false" ht="15" hidden="false" customHeight="false" outlineLevel="0" collapsed="false">
      <c r="A927" s="24"/>
      <c r="B927" s="25"/>
      <c r="C927" s="25"/>
      <c r="D927" s="25"/>
      <c r="E927" s="6"/>
      <c r="F927" s="26" t="str">
        <f aca="false">IF(A927="","",MONTH(A927))</f>
        <v/>
      </c>
      <c r="G927" s="26" t="str">
        <f aca="false">IF(A927="","",YEAR(A927))</f>
        <v/>
      </c>
      <c r="H927" s="11" t="str">
        <f aca="false">IF(OR(C927="",B927&lt;&gt;"Pengeluaran"),"",IFERROR(INDEX(Dashboard!$B$18:$B$39,MATCH(C927,Dashboard!$A$18:$A$39,0)),""))</f>
        <v/>
      </c>
    </row>
    <row r="928" customFormat="false" ht="15" hidden="false" customHeight="false" outlineLevel="0" collapsed="false">
      <c r="A928" s="24"/>
      <c r="B928" s="25"/>
      <c r="C928" s="25"/>
      <c r="D928" s="25"/>
      <c r="E928" s="6"/>
      <c r="F928" s="26" t="str">
        <f aca="false">IF(A928="","",MONTH(A928))</f>
        <v/>
      </c>
      <c r="G928" s="26" t="str">
        <f aca="false">IF(A928="","",YEAR(A928))</f>
        <v/>
      </c>
      <c r="H928" s="11" t="str">
        <f aca="false">IF(OR(C928="",B928&lt;&gt;"Pengeluaran"),"",IFERROR(INDEX(Dashboard!$B$18:$B$39,MATCH(C928,Dashboard!$A$18:$A$39,0)),""))</f>
        <v/>
      </c>
    </row>
    <row r="929" customFormat="false" ht="15" hidden="false" customHeight="false" outlineLevel="0" collapsed="false">
      <c r="A929" s="24"/>
      <c r="B929" s="25"/>
      <c r="C929" s="25"/>
      <c r="D929" s="25"/>
      <c r="E929" s="6"/>
      <c r="F929" s="26" t="str">
        <f aca="false">IF(A929="","",MONTH(A929))</f>
        <v/>
      </c>
      <c r="G929" s="26" t="str">
        <f aca="false">IF(A929="","",YEAR(A929))</f>
        <v/>
      </c>
      <c r="H929" s="11" t="str">
        <f aca="false">IF(OR(C929="",B929&lt;&gt;"Pengeluaran"),"",IFERROR(INDEX(Dashboard!$B$18:$B$39,MATCH(C929,Dashboard!$A$18:$A$39,0)),""))</f>
        <v/>
      </c>
    </row>
    <row r="930" customFormat="false" ht="15" hidden="false" customHeight="false" outlineLevel="0" collapsed="false">
      <c r="A930" s="24"/>
      <c r="B930" s="25"/>
      <c r="C930" s="25"/>
      <c r="D930" s="25"/>
      <c r="E930" s="6"/>
      <c r="F930" s="26" t="str">
        <f aca="false">IF(A930="","",MONTH(A930))</f>
        <v/>
      </c>
      <c r="G930" s="26" t="str">
        <f aca="false">IF(A930="","",YEAR(A930))</f>
        <v/>
      </c>
      <c r="H930" s="11" t="str">
        <f aca="false">IF(OR(C930="",B930&lt;&gt;"Pengeluaran"),"",IFERROR(INDEX(Dashboard!$B$18:$B$39,MATCH(C930,Dashboard!$A$18:$A$39,0)),""))</f>
        <v/>
      </c>
    </row>
    <row r="931" customFormat="false" ht="15" hidden="false" customHeight="false" outlineLevel="0" collapsed="false">
      <c r="A931" s="24"/>
      <c r="B931" s="25"/>
      <c r="C931" s="25"/>
      <c r="D931" s="25"/>
      <c r="E931" s="6"/>
      <c r="F931" s="26" t="str">
        <f aca="false">IF(A931="","",MONTH(A931))</f>
        <v/>
      </c>
      <c r="G931" s="26" t="str">
        <f aca="false">IF(A931="","",YEAR(A931))</f>
        <v/>
      </c>
      <c r="H931" s="11" t="str">
        <f aca="false">IF(OR(C931="",B931&lt;&gt;"Pengeluaran"),"",IFERROR(INDEX(Dashboard!$B$18:$B$39,MATCH(C931,Dashboard!$A$18:$A$39,0)),""))</f>
        <v/>
      </c>
    </row>
    <row r="932" customFormat="false" ht="15" hidden="false" customHeight="false" outlineLevel="0" collapsed="false">
      <c r="A932" s="24"/>
      <c r="B932" s="25"/>
      <c r="C932" s="25"/>
      <c r="D932" s="25"/>
      <c r="E932" s="6"/>
      <c r="F932" s="26" t="str">
        <f aca="false">IF(A932="","",MONTH(A932))</f>
        <v/>
      </c>
      <c r="G932" s="26" t="str">
        <f aca="false">IF(A932="","",YEAR(A932))</f>
        <v/>
      </c>
      <c r="H932" s="11" t="str">
        <f aca="false">IF(OR(C932="",B932&lt;&gt;"Pengeluaran"),"",IFERROR(INDEX(Dashboard!$B$18:$B$39,MATCH(C932,Dashboard!$A$18:$A$39,0)),""))</f>
        <v/>
      </c>
    </row>
    <row r="933" customFormat="false" ht="15" hidden="false" customHeight="false" outlineLevel="0" collapsed="false">
      <c r="A933" s="24"/>
      <c r="B933" s="25"/>
      <c r="C933" s="25"/>
      <c r="D933" s="25"/>
      <c r="E933" s="6"/>
      <c r="F933" s="26" t="str">
        <f aca="false">IF(A933="","",MONTH(A933))</f>
        <v/>
      </c>
      <c r="G933" s="26" t="str">
        <f aca="false">IF(A933="","",YEAR(A933))</f>
        <v/>
      </c>
      <c r="H933" s="11" t="str">
        <f aca="false">IF(OR(C933="",B933&lt;&gt;"Pengeluaran"),"",IFERROR(INDEX(Dashboard!$B$18:$B$39,MATCH(C933,Dashboard!$A$18:$A$39,0)),""))</f>
        <v/>
      </c>
    </row>
    <row r="934" customFormat="false" ht="15" hidden="false" customHeight="false" outlineLevel="0" collapsed="false">
      <c r="A934" s="24"/>
      <c r="B934" s="25"/>
      <c r="C934" s="25"/>
      <c r="D934" s="25"/>
      <c r="E934" s="6"/>
      <c r="F934" s="26" t="str">
        <f aca="false">IF(A934="","",MONTH(A934))</f>
        <v/>
      </c>
      <c r="G934" s="26" t="str">
        <f aca="false">IF(A934="","",YEAR(A934))</f>
        <v/>
      </c>
      <c r="H934" s="11" t="str">
        <f aca="false">IF(OR(C934="",B934&lt;&gt;"Pengeluaran"),"",IFERROR(INDEX(Dashboard!$B$18:$B$39,MATCH(C934,Dashboard!$A$18:$A$39,0)),""))</f>
        <v/>
      </c>
    </row>
    <row r="935" customFormat="false" ht="15" hidden="false" customHeight="false" outlineLevel="0" collapsed="false">
      <c r="A935" s="24"/>
      <c r="B935" s="25"/>
      <c r="C935" s="25"/>
      <c r="D935" s="25"/>
      <c r="E935" s="6"/>
      <c r="F935" s="26" t="str">
        <f aca="false">IF(A935="","",MONTH(A935))</f>
        <v/>
      </c>
      <c r="G935" s="26" t="str">
        <f aca="false">IF(A935="","",YEAR(A935))</f>
        <v/>
      </c>
      <c r="H935" s="11" t="str">
        <f aca="false">IF(OR(C935="",B935&lt;&gt;"Pengeluaran"),"",IFERROR(INDEX(Dashboard!$B$18:$B$39,MATCH(C935,Dashboard!$A$18:$A$39,0)),""))</f>
        <v/>
      </c>
    </row>
    <row r="936" customFormat="false" ht="15" hidden="false" customHeight="false" outlineLevel="0" collapsed="false">
      <c r="A936" s="24"/>
      <c r="B936" s="25"/>
      <c r="C936" s="25"/>
      <c r="D936" s="25"/>
      <c r="E936" s="6"/>
      <c r="F936" s="26" t="str">
        <f aca="false">IF(A936="","",MONTH(A936))</f>
        <v/>
      </c>
      <c r="G936" s="26" t="str">
        <f aca="false">IF(A936="","",YEAR(A936))</f>
        <v/>
      </c>
      <c r="H936" s="11" t="str">
        <f aca="false">IF(OR(C936="",B936&lt;&gt;"Pengeluaran"),"",IFERROR(INDEX(Dashboard!$B$18:$B$39,MATCH(C936,Dashboard!$A$18:$A$39,0)),""))</f>
        <v/>
      </c>
    </row>
    <row r="937" customFormat="false" ht="15" hidden="false" customHeight="false" outlineLevel="0" collapsed="false">
      <c r="A937" s="24"/>
      <c r="B937" s="25"/>
      <c r="C937" s="25"/>
      <c r="D937" s="25"/>
      <c r="E937" s="6"/>
      <c r="F937" s="26" t="str">
        <f aca="false">IF(A937="","",MONTH(A937))</f>
        <v/>
      </c>
      <c r="G937" s="26" t="str">
        <f aca="false">IF(A937="","",YEAR(A937))</f>
        <v/>
      </c>
      <c r="H937" s="11" t="str">
        <f aca="false">IF(OR(C937="",B937&lt;&gt;"Pengeluaran"),"",IFERROR(INDEX(Dashboard!$B$18:$B$39,MATCH(C937,Dashboard!$A$18:$A$39,0)),""))</f>
        <v/>
      </c>
    </row>
    <row r="938" customFormat="false" ht="15" hidden="false" customHeight="false" outlineLevel="0" collapsed="false">
      <c r="A938" s="24"/>
      <c r="B938" s="25"/>
      <c r="C938" s="25"/>
      <c r="D938" s="25"/>
      <c r="E938" s="6"/>
      <c r="F938" s="26" t="str">
        <f aca="false">IF(A938="","",MONTH(A938))</f>
        <v/>
      </c>
      <c r="G938" s="26" t="str">
        <f aca="false">IF(A938="","",YEAR(A938))</f>
        <v/>
      </c>
      <c r="H938" s="11" t="str">
        <f aca="false">IF(OR(C938="",B938&lt;&gt;"Pengeluaran"),"",IFERROR(INDEX(Dashboard!$B$18:$B$39,MATCH(C938,Dashboard!$A$18:$A$39,0)),""))</f>
        <v/>
      </c>
    </row>
    <row r="939" customFormat="false" ht="15" hidden="false" customHeight="false" outlineLevel="0" collapsed="false">
      <c r="A939" s="24"/>
      <c r="B939" s="25"/>
      <c r="C939" s="25"/>
      <c r="D939" s="25"/>
      <c r="E939" s="6"/>
      <c r="F939" s="26" t="str">
        <f aca="false">IF(A939="","",MONTH(A939))</f>
        <v/>
      </c>
      <c r="G939" s="26" t="str">
        <f aca="false">IF(A939="","",YEAR(A939))</f>
        <v/>
      </c>
      <c r="H939" s="11" t="str">
        <f aca="false">IF(OR(C939="",B939&lt;&gt;"Pengeluaran"),"",IFERROR(INDEX(Dashboard!$B$18:$B$39,MATCH(C939,Dashboard!$A$18:$A$39,0)),""))</f>
        <v/>
      </c>
    </row>
    <row r="940" customFormat="false" ht="15" hidden="false" customHeight="false" outlineLevel="0" collapsed="false">
      <c r="A940" s="24"/>
      <c r="B940" s="25"/>
      <c r="C940" s="25"/>
      <c r="D940" s="25"/>
      <c r="E940" s="6"/>
      <c r="F940" s="26" t="str">
        <f aca="false">IF(A940="","",MONTH(A940))</f>
        <v/>
      </c>
      <c r="G940" s="26" t="str">
        <f aca="false">IF(A940="","",YEAR(A940))</f>
        <v/>
      </c>
      <c r="H940" s="11" t="str">
        <f aca="false">IF(OR(C940="",B940&lt;&gt;"Pengeluaran"),"",IFERROR(INDEX(Dashboard!$B$18:$B$39,MATCH(C940,Dashboard!$A$18:$A$39,0)),""))</f>
        <v/>
      </c>
    </row>
    <row r="941" customFormat="false" ht="15" hidden="false" customHeight="false" outlineLevel="0" collapsed="false">
      <c r="A941" s="24"/>
      <c r="B941" s="25"/>
      <c r="C941" s="25"/>
      <c r="D941" s="25"/>
      <c r="E941" s="6"/>
      <c r="F941" s="26" t="str">
        <f aca="false">IF(A941="","",MONTH(A941))</f>
        <v/>
      </c>
      <c r="G941" s="26" t="str">
        <f aca="false">IF(A941="","",YEAR(A941))</f>
        <v/>
      </c>
      <c r="H941" s="11" t="str">
        <f aca="false">IF(OR(C941="",B941&lt;&gt;"Pengeluaran"),"",IFERROR(INDEX(Dashboard!$B$18:$B$39,MATCH(C941,Dashboard!$A$18:$A$39,0)),""))</f>
        <v/>
      </c>
    </row>
    <row r="942" customFormat="false" ht="15" hidden="false" customHeight="false" outlineLevel="0" collapsed="false">
      <c r="A942" s="24"/>
      <c r="B942" s="25"/>
      <c r="C942" s="25"/>
      <c r="D942" s="25"/>
      <c r="E942" s="6"/>
      <c r="F942" s="26" t="str">
        <f aca="false">IF(A942="","",MONTH(A942))</f>
        <v/>
      </c>
      <c r="G942" s="26" t="str">
        <f aca="false">IF(A942="","",YEAR(A942))</f>
        <v/>
      </c>
      <c r="H942" s="11" t="str">
        <f aca="false">IF(OR(C942="",B942&lt;&gt;"Pengeluaran"),"",IFERROR(INDEX(Dashboard!$B$18:$B$39,MATCH(C942,Dashboard!$A$18:$A$39,0)),""))</f>
        <v/>
      </c>
    </row>
    <row r="943" customFormat="false" ht="15" hidden="false" customHeight="false" outlineLevel="0" collapsed="false">
      <c r="A943" s="24"/>
      <c r="B943" s="25"/>
      <c r="C943" s="25"/>
      <c r="D943" s="25"/>
      <c r="E943" s="6"/>
      <c r="F943" s="26" t="str">
        <f aca="false">IF(A943="","",MONTH(A943))</f>
        <v/>
      </c>
      <c r="G943" s="26" t="str">
        <f aca="false">IF(A943="","",YEAR(A943))</f>
        <v/>
      </c>
      <c r="H943" s="11" t="str">
        <f aca="false">IF(OR(C943="",B943&lt;&gt;"Pengeluaran"),"",IFERROR(INDEX(Dashboard!$B$18:$B$39,MATCH(C943,Dashboard!$A$18:$A$39,0)),""))</f>
        <v/>
      </c>
    </row>
    <row r="944" customFormat="false" ht="15" hidden="false" customHeight="false" outlineLevel="0" collapsed="false">
      <c r="A944" s="24"/>
      <c r="B944" s="25"/>
      <c r="C944" s="25"/>
      <c r="D944" s="25"/>
      <c r="E944" s="6"/>
      <c r="F944" s="26" t="str">
        <f aca="false">IF(A944="","",MONTH(A944))</f>
        <v/>
      </c>
      <c r="G944" s="26" t="str">
        <f aca="false">IF(A944="","",YEAR(A944))</f>
        <v/>
      </c>
      <c r="H944" s="11" t="str">
        <f aca="false">IF(OR(C944="",B944&lt;&gt;"Pengeluaran"),"",IFERROR(INDEX(Dashboard!$B$18:$B$39,MATCH(C944,Dashboard!$A$18:$A$39,0)),""))</f>
        <v/>
      </c>
    </row>
    <row r="945" customFormat="false" ht="15" hidden="false" customHeight="false" outlineLevel="0" collapsed="false">
      <c r="A945" s="24"/>
      <c r="B945" s="25"/>
      <c r="C945" s="25"/>
      <c r="D945" s="25"/>
      <c r="E945" s="6"/>
      <c r="F945" s="26" t="str">
        <f aca="false">IF(A945="","",MONTH(A945))</f>
        <v/>
      </c>
      <c r="G945" s="26" t="str">
        <f aca="false">IF(A945="","",YEAR(A945))</f>
        <v/>
      </c>
      <c r="H945" s="11" t="str">
        <f aca="false">IF(OR(C945="",B945&lt;&gt;"Pengeluaran"),"",IFERROR(INDEX(Dashboard!$B$18:$B$39,MATCH(C945,Dashboard!$A$18:$A$39,0)),""))</f>
        <v/>
      </c>
    </row>
    <row r="946" customFormat="false" ht="15" hidden="false" customHeight="false" outlineLevel="0" collapsed="false">
      <c r="A946" s="24"/>
      <c r="B946" s="25"/>
      <c r="C946" s="25"/>
      <c r="D946" s="25"/>
      <c r="E946" s="6"/>
      <c r="F946" s="26" t="str">
        <f aca="false">IF(A946="","",MONTH(A946))</f>
        <v/>
      </c>
      <c r="G946" s="26" t="str">
        <f aca="false">IF(A946="","",YEAR(A946))</f>
        <v/>
      </c>
      <c r="H946" s="11" t="str">
        <f aca="false">IF(OR(C946="",B946&lt;&gt;"Pengeluaran"),"",IFERROR(INDEX(Dashboard!$B$18:$B$39,MATCH(C946,Dashboard!$A$18:$A$39,0)),""))</f>
        <v/>
      </c>
    </row>
    <row r="947" customFormat="false" ht="15" hidden="false" customHeight="false" outlineLevel="0" collapsed="false">
      <c r="A947" s="24"/>
      <c r="B947" s="25"/>
      <c r="C947" s="25"/>
      <c r="D947" s="25"/>
      <c r="E947" s="6"/>
      <c r="F947" s="26" t="str">
        <f aca="false">IF(A947="","",MONTH(A947))</f>
        <v/>
      </c>
      <c r="G947" s="26" t="str">
        <f aca="false">IF(A947="","",YEAR(A947))</f>
        <v/>
      </c>
      <c r="H947" s="11" t="str">
        <f aca="false">IF(OR(C947="",B947&lt;&gt;"Pengeluaran"),"",IFERROR(INDEX(Dashboard!$B$18:$B$39,MATCH(C947,Dashboard!$A$18:$A$39,0)),""))</f>
        <v/>
      </c>
    </row>
    <row r="948" customFormat="false" ht="15" hidden="false" customHeight="false" outlineLevel="0" collapsed="false">
      <c r="A948" s="24"/>
      <c r="B948" s="25"/>
      <c r="C948" s="25"/>
      <c r="D948" s="25"/>
      <c r="E948" s="6"/>
      <c r="F948" s="26" t="str">
        <f aca="false">IF(A948="","",MONTH(A948))</f>
        <v/>
      </c>
      <c r="G948" s="26" t="str">
        <f aca="false">IF(A948="","",YEAR(A948))</f>
        <v/>
      </c>
      <c r="H948" s="11" t="str">
        <f aca="false">IF(OR(C948="",B948&lt;&gt;"Pengeluaran"),"",IFERROR(INDEX(Dashboard!$B$18:$B$39,MATCH(C948,Dashboard!$A$18:$A$39,0)),""))</f>
        <v/>
      </c>
    </row>
    <row r="949" customFormat="false" ht="15" hidden="false" customHeight="false" outlineLevel="0" collapsed="false">
      <c r="A949" s="24"/>
      <c r="B949" s="25"/>
      <c r="C949" s="25"/>
      <c r="D949" s="25"/>
      <c r="E949" s="6"/>
      <c r="F949" s="26" t="str">
        <f aca="false">IF(A949="","",MONTH(A949))</f>
        <v/>
      </c>
      <c r="G949" s="26" t="str">
        <f aca="false">IF(A949="","",YEAR(A949))</f>
        <v/>
      </c>
      <c r="H949" s="11" t="str">
        <f aca="false">IF(OR(C949="",B949&lt;&gt;"Pengeluaran"),"",IFERROR(INDEX(Dashboard!$B$18:$B$39,MATCH(C949,Dashboard!$A$18:$A$39,0)),""))</f>
        <v/>
      </c>
    </row>
    <row r="950" customFormat="false" ht="15" hidden="false" customHeight="false" outlineLevel="0" collapsed="false">
      <c r="A950" s="24"/>
      <c r="B950" s="25"/>
      <c r="C950" s="25"/>
      <c r="D950" s="25"/>
      <c r="E950" s="6"/>
      <c r="F950" s="26" t="str">
        <f aca="false">IF(A950="","",MONTH(A950))</f>
        <v/>
      </c>
      <c r="G950" s="26" t="str">
        <f aca="false">IF(A950="","",YEAR(A950))</f>
        <v/>
      </c>
      <c r="H950" s="11" t="str">
        <f aca="false">IF(OR(C950="",B950&lt;&gt;"Pengeluaran"),"",IFERROR(INDEX(Dashboard!$B$18:$B$39,MATCH(C950,Dashboard!$A$18:$A$39,0)),""))</f>
        <v/>
      </c>
    </row>
    <row r="951" customFormat="false" ht="15" hidden="false" customHeight="false" outlineLevel="0" collapsed="false">
      <c r="A951" s="24"/>
      <c r="B951" s="25"/>
      <c r="C951" s="25"/>
      <c r="D951" s="25"/>
      <c r="E951" s="6"/>
      <c r="F951" s="26" t="str">
        <f aca="false">IF(A951="","",MONTH(A951))</f>
        <v/>
      </c>
      <c r="G951" s="26" t="str">
        <f aca="false">IF(A951="","",YEAR(A951))</f>
        <v/>
      </c>
      <c r="H951" s="11" t="str">
        <f aca="false">IF(OR(C951="",B951&lt;&gt;"Pengeluaran"),"",IFERROR(INDEX(Dashboard!$B$18:$B$39,MATCH(C951,Dashboard!$A$18:$A$39,0)),""))</f>
        <v/>
      </c>
    </row>
    <row r="952" customFormat="false" ht="15" hidden="false" customHeight="false" outlineLevel="0" collapsed="false">
      <c r="A952" s="24"/>
      <c r="B952" s="25"/>
      <c r="C952" s="25"/>
      <c r="D952" s="25"/>
      <c r="E952" s="6"/>
      <c r="F952" s="26" t="str">
        <f aca="false">IF(A952="","",MONTH(A952))</f>
        <v/>
      </c>
      <c r="G952" s="26" t="str">
        <f aca="false">IF(A952="","",YEAR(A952))</f>
        <v/>
      </c>
      <c r="H952" s="11" t="str">
        <f aca="false">IF(OR(C952="",B952&lt;&gt;"Pengeluaran"),"",IFERROR(INDEX(Dashboard!$B$18:$B$39,MATCH(C952,Dashboard!$A$18:$A$39,0)),""))</f>
        <v/>
      </c>
    </row>
    <row r="953" customFormat="false" ht="15" hidden="false" customHeight="false" outlineLevel="0" collapsed="false">
      <c r="A953" s="24"/>
      <c r="B953" s="25"/>
      <c r="C953" s="25"/>
      <c r="D953" s="25"/>
      <c r="E953" s="6"/>
      <c r="F953" s="26" t="str">
        <f aca="false">IF(A953="","",MONTH(A953))</f>
        <v/>
      </c>
      <c r="G953" s="26" t="str">
        <f aca="false">IF(A953="","",YEAR(A953))</f>
        <v/>
      </c>
      <c r="H953" s="11" t="str">
        <f aca="false">IF(OR(C953="",B953&lt;&gt;"Pengeluaran"),"",IFERROR(INDEX(Dashboard!$B$18:$B$39,MATCH(C953,Dashboard!$A$18:$A$39,0)),""))</f>
        <v/>
      </c>
    </row>
    <row r="954" customFormat="false" ht="15" hidden="false" customHeight="false" outlineLevel="0" collapsed="false">
      <c r="A954" s="24"/>
      <c r="B954" s="25"/>
      <c r="C954" s="25"/>
      <c r="D954" s="25"/>
      <c r="E954" s="6"/>
      <c r="F954" s="26" t="str">
        <f aca="false">IF(A954="","",MONTH(A954))</f>
        <v/>
      </c>
      <c r="G954" s="26" t="str">
        <f aca="false">IF(A954="","",YEAR(A954))</f>
        <v/>
      </c>
      <c r="H954" s="11" t="str">
        <f aca="false">IF(OR(C954="",B954&lt;&gt;"Pengeluaran"),"",IFERROR(INDEX(Dashboard!$B$18:$B$39,MATCH(C954,Dashboard!$A$18:$A$39,0)),""))</f>
        <v/>
      </c>
    </row>
    <row r="955" customFormat="false" ht="15" hidden="false" customHeight="false" outlineLevel="0" collapsed="false">
      <c r="A955" s="24"/>
      <c r="B955" s="25"/>
      <c r="C955" s="25"/>
      <c r="D955" s="25"/>
      <c r="E955" s="6"/>
      <c r="F955" s="26" t="str">
        <f aca="false">IF(A955="","",MONTH(A955))</f>
        <v/>
      </c>
      <c r="G955" s="26" t="str">
        <f aca="false">IF(A955="","",YEAR(A955))</f>
        <v/>
      </c>
      <c r="H955" s="11" t="str">
        <f aca="false">IF(OR(C955="",B955&lt;&gt;"Pengeluaran"),"",IFERROR(INDEX(Dashboard!$B$18:$B$39,MATCH(C955,Dashboard!$A$18:$A$39,0)),""))</f>
        <v/>
      </c>
    </row>
    <row r="956" customFormat="false" ht="15" hidden="false" customHeight="false" outlineLevel="0" collapsed="false">
      <c r="A956" s="24"/>
      <c r="B956" s="25"/>
      <c r="C956" s="25"/>
      <c r="D956" s="25"/>
      <c r="E956" s="6"/>
      <c r="F956" s="26" t="str">
        <f aca="false">IF(A956="","",MONTH(A956))</f>
        <v/>
      </c>
      <c r="G956" s="26" t="str">
        <f aca="false">IF(A956="","",YEAR(A956))</f>
        <v/>
      </c>
      <c r="H956" s="11" t="str">
        <f aca="false">IF(OR(C956="",B956&lt;&gt;"Pengeluaran"),"",IFERROR(INDEX(Dashboard!$B$18:$B$39,MATCH(C956,Dashboard!$A$18:$A$39,0)),""))</f>
        <v/>
      </c>
    </row>
    <row r="957" customFormat="false" ht="15" hidden="false" customHeight="false" outlineLevel="0" collapsed="false">
      <c r="A957" s="24"/>
      <c r="B957" s="25"/>
      <c r="C957" s="25"/>
      <c r="D957" s="25"/>
      <c r="E957" s="6"/>
      <c r="F957" s="26" t="str">
        <f aca="false">IF(A957="","",MONTH(A957))</f>
        <v/>
      </c>
      <c r="G957" s="26" t="str">
        <f aca="false">IF(A957="","",YEAR(A957))</f>
        <v/>
      </c>
      <c r="H957" s="11" t="str">
        <f aca="false">IF(OR(C957="",B957&lt;&gt;"Pengeluaran"),"",IFERROR(INDEX(Dashboard!$B$18:$B$39,MATCH(C957,Dashboard!$A$18:$A$39,0)),""))</f>
        <v/>
      </c>
    </row>
    <row r="958" customFormat="false" ht="15" hidden="false" customHeight="false" outlineLevel="0" collapsed="false">
      <c r="A958" s="24"/>
      <c r="B958" s="25"/>
      <c r="C958" s="25"/>
      <c r="D958" s="25"/>
      <c r="E958" s="6"/>
      <c r="F958" s="26" t="str">
        <f aca="false">IF(A958="","",MONTH(A958))</f>
        <v/>
      </c>
      <c r="G958" s="26" t="str">
        <f aca="false">IF(A958="","",YEAR(A958))</f>
        <v/>
      </c>
      <c r="H958" s="11" t="str">
        <f aca="false">IF(OR(C958="",B958&lt;&gt;"Pengeluaran"),"",IFERROR(INDEX(Dashboard!$B$18:$B$39,MATCH(C958,Dashboard!$A$18:$A$39,0)),""))</f>
        <v/>
      </c>
    </row>
    <row r="959" customFormat="false" ht="15" hidden="false" customHeight="false" outlineLevel="0" collapsed="false">
      <c r="A959" s="24"/>
      <c r="B959" s="25"/>
      <c r="C959" s="25"/>
      <c r="D959" s="25"/>
      <c r="E959" s="6"/>
      <c r="F959" s="26" t="str">
        <f aca="false">IF(A959="","",MONTH(A959))</f>
        <v/>
      </c>
      <c r="G959" s="26" t="str">
        <f aca="false">IF(A959="","",YEAR(A959))</f>
        <v/>
      </c>
      <c r="H959" s="11" t="str">
        <f aca="false">IF(OR(C959="",B959&lt;&gt;"Pengeluaran"),"",IFERROR(INDEX(Dashboard!$B$18:$B$39,MATCH(C959,Dashboard!$A$18:$A$39,0)),""))</f>
        <v/>
      </c>
    </row>
    <row r="960" customFormat="false" ht="15" hidden="false" customHeight="false" outlineLevel="0" collapsed="false">
      <c r="A960" s="24"/>
      <c r="B960" s="25"/>
      <c r="C960" s="25"/>
      <c r="D960" s="25"/>
      <c r="E960" s="6"/>
      <c r="F960" s="26" t="str">
        <f aca="false">IF(A960="","",MONTH(A960))</f>
        <v/>
      </c>
      <c r="G960" s="26" t="str">
        <f aca="false">IF(A960="","",YEAR(A960))</f>
        <v/>
      </c>
      <c r="H960" s="11" t="str">
        <f aca="false">IF(OR(C960="",B960&lt;&gt;"Pengeluaran"),"",IFERROR(INDEX(Dashboard!$B$18:$B$39,MATCH(C960,Dashboard!$A$18:$A$39,0)),""))</f>
        <v/>
      </c>
    </row>
    <row r="961" customFormat="false" ht="15" hidden="false" customHeight="false" outlineLevel="0" collapsed="false">
      <c r="A961" s="24"/>
      <c r="B961" s="25"/>
      <c r="C961" s="25"/>
      <c r="D961" s="25"/>
      <c r="E961" s="6"/>
      <c r="F961" s="26" t="str">
        <f aca="false">IF(A961="","",MONTH(A961))</f>
        <v/>
      </c>
      <c r="G961" s="26" t="str">
        <f aca="false">IF(A961="","",YEAR(A961))</f>
        <v/>
      </c>
      <c r="H961" s="11" t="str">
        <f aca="false">IF(OR(C961="",B961&lt;&gt;"Pengeluaran"),"",IFERROR(INDEX(Dashboard!$B$18:$B$39,MATCH(C961,Dashboard!$A$18:$A$39,0)),""))</f>
        <v/>
      </c>
    </row>
    <row r="962" customFormat="false" ht="15" hidden="false" customHeight="false" outlineLevel="0" collapsed="false">
      <c r="A962" s="24"/>
      <c r="B962" s="25"/>
      <c r="C962" s="25"/>
      <c r="D962" s="25"/>
      <c r="E962" s="6"/>
      <c r="F962" s="26" t="str">
        <f aca="false">IF(A962="","",MONTH(A962))</f>
        <v/>
      </c>
      <c r="G962" s="26" t="str">
        <f aca="false">IF(A962="","",YEAR(A962))</f>
        <v/>
      </c>
      <c r="H962" s="11" t="str">
        <f aca="false">IF(OR(C962="",B962&lt;&gt;"Pengeluaran"),"",IFERROR(INDEX(Dashboard!$B$18:$B$39,MATCH(C962,Dashboard!$A$18:$A$39,0)),""))</f>
        <v/>
      </c>
    </row>
    <row r="963" customFormat="false" ht="15" hidden="false" customHeight="false" outlineLevel="0" collapsed="false">
      <c r="A963" s="24"/>
      <c r="B963" s="25"/>
      <c r="C963" s="25"/>
      <c r="D963" s="25"/>
      <c r="E963" s="6"/>
      <c r="F963" s="26" t="str">
        <f aca="false">IF(A963="","",MONTH(A963))</f>
        <v/>
      </c>
      <c r="G963" s="26" t="str">
        <f aca="false">IF(A963="","",YEAR(A963))</f>
        <v/>
      </c>
      <c r="H963" s="11" t="str">
        <f aca="false">IF(OR(C963="",B963&lt;&gt;"Pengeluaran"),"",IFERROR(INDEX(Dashboard!$B$18:$B$39,MATCH(C963,Dashboard!$A$18:$A$39,0)),""))</f>
        <v/>
      </c>
    </row>
    <row r="964" customFormat="false" ht="15" hidden="false" customHeight="false" outlineLevel="0" collapsed="false">
      <c r="A964" s="24"/>
      <c r="B964" s="25"/>
      <c r="C964" s="25"/>
      <c r="D964" s="25"/>
      <c r="E964" s="6"/>
      <c r="F964" s="26" t="str">
        <f aca="false">IF(A964="","",MONTH(A964))</f>
        <v/>
      </c>
      <c r="G964" s="26" t="str">
        <f aca="false">IF(A964="","",YEAR(A964))</f>
        <v/>
      </c>
      <c r="H964" s="11" t="str">
        <f aca="false">IF(OR(C964="",B964&lt;&gt;"Pengeluaran"),"",IFERROR(INDEX(Dashboard!$B$18:$B$39,MATCH(C964,Dashboard!$A$18:$A$39,0)),""))</f>
        <v/>
      </c>
    </row>
    <row r="965" customFormat="false" ht="15" hidden="false" customHeight="false" outlineLevel="0" collapsed="false">
      <c r="A965" s="24"/>
      <c r="B965" s="25"/>
      <c r="C965" s="25"/>
      <c r="D965" s="25"/>
      <c r="E965" s="6"/>
      <c r="F965" s="26" t="str">
        <f aca="false">IF(A965="","",MONTH(A965))</f>
        <v/>
      </c>
      <c r="G965" s="26" t="str">
        <f aca="false">IF(A965="","",YEAR(A965))</f>
        <v/>
      </c>
      <c r="H965" s="11" t="str">
        <f aca="false">IF(OR(C965="",B965&lt;&gt;"Pengeluaran"),"",IFERROR(INDEX(Dashboard!$B$18:$B$39,MATCH(C965,Dashboard!$A$18:$A$39,0)),""))</f>
        <v/>
      </c>
    </row>
    <row r="966" customFormat="false" ht="15" hidden="false" customHeight="false" outlineLevel="0" collapsed="false">
      <c r="A966" s="24"/>
      <c r="B966" s="25"/>
      <c r="C966" s="25"/>
      <c r="D966" s="25"/>
      <c r="E966" s="6"/>
      <c r="F966" s="26" t="str">
        <f aca="false">IF(A966="","",MONTH(A966))</f>
        <v/>
      </c>
      <c r="G966" s="26" t="str">
        <f aca="false">IF(A966="","",YEAR(A966))</f>
        <v/>
      </c>
      <c r="H966" s="11" t="str">
        <f aca="false">IF(OR(C966="",B966&lt;&gt;"Pengeluaran"),"",IFERROR(INDEX(Dashboard!$B$18:$B$39,MATCH(C966,Dashboard!$A$18:$A$39,0)),""))</f>
        <v/>
      </c>
    </row>
    <row r="967" customFormat="false" ht="15" hidden="false" customHeight="false" outlineLevel="0" collapsed="false">
      <c r="A967" s="24"/>
      <c r="B967" s="25"/>
      <c r="C967" s="25"/>
      <c r="D967" s="25"/>
      <c r="E967" s="6"/>
      <c r="F967" s="26" t="str">
        <f aca="false">IF(A967="","",MONTH(A967))</f>
        <v/>
      </c>
      <c r="G967" s="26" t="str">
        <f aca="false">IF(A967="","",YEAR(A967))</f>
        <v/>
      </c>
      <c r="H967" s="11" t="str">
        <f aca="false">IF(OR(C967="",B967&lt;&gt;"Pengeluaran"),"",IFERROR(INDEX(Dashboard!$B$18:$B$39,MATCH(C967,Dashboard!$A$18:$A$39,0)),""))</f>
        <v/>
      </c>
    </row>
    <row r="968" customFormat="false" ht="15" hidden="false" customHeight="false" outlineLevel="0" collapsed="false">
      <c r="A968" s="24"/>
      <c r="B968" s="25"/>
      <c r="C968" s="25"/>
      <c r="D968" s="25"/>
      <c r="E968" s="6"/>
      <c r="F968" s="26" t="str">
        <f aca="false">IF(A968="","",MONTH(A968))</f>
        <v/>
      </c>
      <c r="G968" s="26" t="str">
        <f aca="false">IF(A968="","",YEAR(A968))</f>
        <v/>
      </c>
      <c r="H968" s="11" t="str">
        <f aca="false">IF(OR(C968="",B968&lt;&gt;"Pengeluaran"),"",IFERROR(INDEX(Dashboard!$B$18:$B$39,MATCH(C968,Dashboard!$A$18:$A$39,0)),""))</f>
        <v/>
      </c>
    </row>
    <row r="969" customFormat="false" ht="15" hidden="false" customHeight="false" outlineLevel="0" collapsed="false">
      <c r="A969" s="24"/>
      <c r="B969" s="25"/>
      <c r="C969" s="25"/>
      <c r="D969" s="25"/>
      <c r="E969" s="6"/>
      <c r="F969" s="26" t="str">
        <f aca="false">IF(A969="","",MONTH(A969))</f>
        <v/>
      </c>
      <c r="G969" s="26" t="str">
        <f aca="false">IF(A969="","",YEAR(A969))</f>
        <v/>
      </c>
      <c r="H969" s="11" t="str">
        <f aca="false">IF(OR(C969="",B969&lt;&gt;"Pengeluaran"),"",IFERROR(INDEX(Dashboard!$B$18:$B$39,MATCH(C969,Dashboard!$A$18:$A$39,0)),""))</f>
        <v/>
      </c>
    </row>
    <row r="970" customFormat="false" ht="15" hidden="false" customHeight="false" outlineLevel="0" collapsed="false">
      <c r="A970" s="24"/>
      <c r="B970" s="25"/>
      <c r="C970" s="25"/>
      <c r="D970" s="25"/>
      <c r="E970" s="6"/>
      <c r="F970" s="26" t="str">
        <f aca="false">IF(A970="","",MONTH(A970))</f>
        <v/>
      </c>
      <c r="G970" s="26" t="str">
        <f aca="false">IF(A970="","",YEAR(A970))</f>
        <v/>
      </c>
      <c r="H970" s="11" t="str">
        <f aca="false">IF(OR(C970="",B970&lt;&gt;"Pengeluaran"),"",IFERROR(INDEX(Dashboard!$B$18:$B$39,MATCH(C970,Dashboard!$A$18:$A$39,0)),""))</f>
        <v/>
      </c>
    </row>
    <row r="971" customFormat="false" ht="15" hidden="false" customHeight="false" outlineLevel="0" collapsed="false">
      <c r="A971" s="24"/>
      <c r="B971" s="25"/>
      <c r="C971" s="25"/>
      <c r="D971" s="25"/>
      <c r="E971" s="6"/>
      <c r="F971" s="26" t="str">
        <f aca="false">IF(A971="","",MONTH(A971))</f>
        <v/>
      </c>
      <c r="G971" s="26" t="str">
        <f aca="false">IF(A971="","",YEAR(A971))</f>
        <v/>
      </c>
      <c r="H971" s="11" t="str">
        <f aca="false">IF(OR(C971="",B971&lt;&gt;"Pengeluaran"),"",IFERROR(INDEX(Dashboard!$B$18:$B$39,MATCH(C971,Dashboard!$A$18:$A$39,0)),""))</f>
        <v/>
      </c>
    </row>
    <row r="972" customFormat="false" ht="15" hidden="false" customHeight="false" outlineLevel="0" collapsed="false">
      <c r="A972" s="24"/>
      <c r="B972" s="25"/>
      <c r="C972" s="25"/>
      <c r="D972" s="25"/>
      <c r="E972" s="6"/>
      <c r="F972" s="26" t="str">
        <f aca="false">IF(A972="","",MONTH(A972))</f>
        <v/>
      </c>
      <c r="G972" s="26" t="str">
        <f aca="false">IF(A972="","",YEAR(A972))</f>
        <v/>
      </c>
      <c r="H972" s="11" t="str">
        <f aca="false">IF(OR(C972="",B972&lt;&gt;"Pengeluaran"),"",IFERROR(INDEX(Dashboard!$B$18:$B$39,MATCH(C972,Dashboard!$A$18:$A$39,0)),""))</f>
        <v/>
      </c>
    </row>
    <row r="973" customFormat="false" ht="15" hidden="false" customHeight="false" outlineLevel="0" collapsed="false">
      <c r="A973" s="24"/>
      <c r="B973" s="25"/>
      <c r="C973" s="25"/>
      <c r="D973" s="25"/>
      <c r="E973" s="6"/>
      <c r="F973" s="26" t="str">
        <f aca="false">IF(A973="","",MONTH(A973))</f>
        <v/>
      </c>
      <c r="G973" s="26" t="str">
        <f aca="false">IF(A973="","",YEAR(A973))</f>
        <v/>
      </c>
      <c r="H973" s="11" t="str">
        <f aca="false">IF(OR(C973="",B973&lt;&gt;"Pengeluaran"),"",IFERROR(INDEX(Dashboard!$B$18:$B$39,MATCH(C973,Dashboard!$A$18:$A$39,0)),""))</f>
        <v/>
      </c>
    </row>
    <row r="974" customFormat="false" ht="15" hidden="false" customHeight="false" outlineLevel="0" collapsed="false">
      <c r="A974" s="24"/>
      <c r="B974" s="25"/>
      <c r="C974" s="25"/>
      <c r="D974" s="25"/>
      <c r="E974" s="6"/>
      <c r="F974" s="26" t="str">
        <f aca="false">IF(A974="","",MONTH(A974))</f>
        <v/>
      </c>
      <c r="G974" s="26" t="str">
        <f aca="false">IF(A974="","",YEAR(A974))</f>
        <v/>
      </c>
      <c r="H974" s="11" t="str">
        <f aca="false">IF(OR(C974="",B974&lt;&gt;"Pengeluaran"),"",IFERROR(INDEX(Dashboard!$B$18:$B$39,MATCH(C974,Dashboard!$A$18:$A$39,0)),""))</f>
        <v/>
      </c>
    </row>
    <row r="975" customFormat="false" ht="15" hidden="false" customHeight="false" outlineLevel="0" collapsed="false">
      <c r="A975" s="24"/>
      <c r="B975" s="25"/>
      <c r="C975" s="25"/>
      <c r="D975" s="25"/>
      <c r="E975" s="6"/>
      <c r="F975" s="26" t="str">
        <f aca="false">IF(A975="","",MONTH(A975))</f>
        <v/>
      </c>
      <c r="G975" s="26" t="str">
        <f aca="false">IF(A975="","",YEAR(A975))</f>
        <v/>
      </c>
      <c r="H975" s="11" t="str">
        <f aca="false">IF(OR(C975="",B975&lt;&gt;"Pengeluaran"),"",IFERROR(INDEX(Dashboard!$B$18:$B$39,MATCH(C975,Dashboard!$A$18:$A$39,0)),""))</f>
        <v/>
      </c>
    </row>
    <row r="976" customFormat="false" ht="15" hidden="false" customHeight="false" outlineLevel="0" collapsed="false">
      <c r="A976" s="24"/>
      <c r="B976" s="25"/>
      <c r="C976" s="25"/>
      <c r="D976" s="25"/>
      <c r="E976" s="6"/>
      <c r="F976" s="26" t="str">
        <f aca="false">IF(A976="","",MONTH(A976))</f>
        <v/>
      </c>
      <c r="G976" s="26" t="str">
        <f aca="false">IF(A976="","",YEAR(A976))</f>
        <v/>
      </c>
      <c r="H976" s="11" t="str">
        <f aca="false">IF(OR(C976="",B976&lt;&gt;"Pengeluaran"),"",IFERROR(INDEX(Dashboard!$B$18:$B$39,MATCH(C976,Dashboard!$A$18:$A$39,0)),""))</f>
        <v/>
      </c>
    </row>
    <row r="977" customFormat="false" ht="15" hidden="false" customHeight="false" outlineLevel="0" collapsed="false">
      <c r="A977" s="24"/>
      <c r="B977" s="25"/>
      <c r="C977" s="25"/>
      <c r="D977" s="25"/>
      <c r="E977" s="6"/>
      <c r="F977" s="26" t="str">
        <f aca="false">IF(A977="","",MONTH(A977))</f>
        <v/>
      </c>
      <c r="G977" s="26" t="str">
        <f aca="false">IF(A977="","",YEAR(A977))</f>
        <v/>
      </c>
      <c r="H977" s="11" t="str">
        <f aca="false">IF(OR(C977="",B977&lt;&gt;"Pengeluaran"),"",IFERROR(INDEX(Dashboard!$B$18:$B$39,MATCH(C977,Dashboard!$A$18:$A$39,0)),""))</f>
        <v/>
      </c>
    </row>
    <row r="978" customFormat="false" ht="15" hidden="false" customHeight="false" outlineLevel="0" collapsed="false">
      <c r="A978" s="24"/>
      <c r="B978" s="25"/>
      <c r="C978" s="25"/>
      <c r="D978" s="25"/>
      <c r="E978" s="6"/>
      <c r="F978" s="26" t="str">
        <f aca="false">IF(A978="","",MONTH(A978))</f>
        <v/>
      </c>
      <c r="G978" s="26" t="str">
        <f aca="false">IF(A978="","",YEAR(A978))</f>
        <v/>
      </c>
      <c r="H978" s="11" t="str">
        <f aca="false">IF(OR(C978="",B978&lt;&gt;"Pengeluaran"),"",IFERROR(INDEX(Dashboard!$B$18:$B$39,MATCH(C978,Dashboard!$A$18:$A$39,0)),""))</f>
        <v/>
      </c>
    </row>
    <row r="979" customFormat="false" ht="15" hidden="false" customHeight="false" outlineLevel="0" collapsed="false">
      <c r="A979" s="24"/>
      <c r="B979" s="25"/>
      <c r="C979" s="25"/>
      <c r="D979" s="25"/>
      <c r="E979" s="6"/>
      <c r="F979" s="26" t="str">
        <f aca="false">IF(A979="","",MONTH(A979))</f>
        <v/>
      </c>
      <c r="G979" s="26" t="str">
        <f aca="false">IF(A979="","",YEAR(A979))</f>
        <v/>
      </c>
      <c r="H979" s="11" t="str">
        <f aca="false">IF(OR(C979="",B979&lt;&gt;"Pengeluaran"),"",IFERROR(INDEX(Dashboard!$B$18:$B$39,MATCH(C979,Dashboard!$A$18:$A$39,0)),""))</f>
        <v/>
      </c>
    </row>
    <row r="980" customFormat="false" ht="15" hidden="false" customHeight="false" outlineLevel="0" collapsed="false">
      <c r="A980" s="24"/>
      <c r="B980" s="25"/>
      <c r="C980" s="25"/>
      <c r="D980" s="25"/>
      <c r="E980" s="6"/>
      <c r="F980" s="26" t="str">
        <f aca="false">IF(A980="","",MONTH(A980))</f>
        <v/>
      </c>
      <c r="G980" s="26" t="str">
        <f aca="false">IF(A980="","",YEAR(A980))</f>
        <v/>
      </c>
      <c r="H980" s="11" t="str">
        <f aca="false">IF(OR(C980="",B980&lt;&gt;"Pengeluaran"),"",IFERROR(INDEX(Dashboard!$B$18:$B$39,MATCH(C980,Dashboard!$A$18:$A$39,0)),""))</f>
        <v/>
      </c>
    </row>
    <row r="981" customFormat="false" ht="15" hidden="false" customHeight="false" outlineLevel="0" collapsed="false">
      <c r="A981" s="24"/>
      <c r="B981" s="25"/>
      <c r="C981" s="25"/>
      <c r="D981" s="25"/>
      <c r="E981" s="6"/>
      <c r="F981" s="26" t="str">
        <f aca="false">IF(A981="","",MONTH(A981))</f>
        <v/>
      </c>
      <c r="G981" s="26" t="str">
        <f aca="false">IF(A981="","",YEAR(A981))</f>
        <v/>
      </c>
      <c r="H981" s="11" t="str">
        <f aca="false">IF(OR(C981="",B981&lt;&gt;"Pengeluaran"),"",IFERROR(INDEX(Dashboard!$B$18:$B$39,MATCH(C981,Dashboard!$A$18:$A$39,0)),""))</f>
        <v/>
      </c>
    </row>
    <row r="982" customFormat="false" ht="15" hidden="false" customHeight="false" outlineLevel="0" collapsed="false">
      <c r="A982" s="24"/>
      <c r="B982" s="25"/>
      <c r="C982" s="25"/>
      <c r="D982" s="25"/>
      <c r="E982" s="6"/>
      <c r="F982" s="26" t="str">
        <f aca="false">IF(A982="","",MONTH(A982))</f>
        <v/>
      </c>
      <c r="G982" s="26" t="str">
        <f aca="false">IF(A982="","",YEAR(A982))</f>
        <v/>
      </c>
      <c r="H982" s="11" t="str">
        <f aca="false">IF(OR(C982="",B982&lt;&gt;"Pengeluaran"),"",IFERROR(INDEX(Dashboard!$B$18:$B$39,MATCH(C982,Dashboard!$A$18:$A$39,0)),""))</f>
        <v/>
      </c>
    </row>
    <row r="983" customFormat="false" ht="15" hidden="false" customHeight="false" outlineLevel="0" collapsed="false">
      <c r="A983" s="24"/>
      <c r="B983" s="25"/>
      <c r="C983" s="25"/>
      <c r="D983" s="25"/>
      <c r="E983" s="6"/>
      <c r="F983" s="26" t="str">
        <f aca="false">IF(A983="","",MONTH(A983))</f>
        <v/>
      </c>
      <c r="G983" s="26" t="str">
        <f aca="false">IF(A983="","",YEAR(A983))</f>
        <v/>
      </c>
      <c r="H983" s="11" t="str">
        <f aca="false">IF(OR(C983="",B983&lt;&gt;"Pengeluaran"),"",IFERROR(INDEX(Dashboard!$B$18:$B$39,MATCH(C983,Dashboard!$A$18:$A$39,0)),""))</f>
        <v/>
      </c>
    </row>
    <row r="984" customFormat="false" ht="15" hidden="false" customHeight="false" outlineLevel="0" collapsed="false">
      <c r="A984" s="24"/>
      <c r="B984" s="25"/>
      <c r="C984" s="25"/>
      <c r="D984" s="25"/>
      <c r="E984" s="6"/>
      <c r="F984" s="26" t="str">
        <f aca="false">IF(A984="","",MONTH(A984))</f>
        <v/>
      </c>
      <c r="G984" s="26" t="str">
        <f aca="false">IF(A984="","",YEAR(A984))</f>
        <v/>
      </c>
      <c r="H984" s="11" t="str">
        <f aca="false">IF(OR(C984="",B984&lt;&gt;"Pengeluaran"),"",IFERROR(INDEX(Dashboard!$B$18:$B$39,MATCH(C984,Dashboard!$A$18:$A$39,0)),""))</f>
        <v/>
      </c>
    </row>
    <row r="985" customFormat="false" ht="15" hidden="false" customHeight="false" outlineLevel="0" collapsed="false">
      <c r="A985" s="24"/>
      <c r="B985" s="25"/>
      <c r="C985" s="25"/>
      <c r="D985" s="25"/>
      <c r="E985" s="6"/>
      <c r="F985" s="26" t="str">
        <f aca="false">IF(A985="","",MONTH(A985))</f>
        <v/>
      </c>
      <c r="G985" s="26" t="str">
        <f aca="false">IF(A985="","",YEAR(A985))</f>
        <v/>
      </c>
      <c r="H985" s="11" t="str">
        <f aca="false">IF(OR(C985="",B985&lt;&gt;"Pengeluaran"),"",IFERROR(INDEX(Dashboard!$B$18:$B$39,MATCH(C985,Dashboard!$A$18:$A$39,0)),""))</f>
        <v/>
      </c>
    </row>
    <row r="986" customFormat="false" ht="15" hidden="false" customHeight="false" outlineLevel="0" collapsed="false">
      <c r="A986" s="24"/>
      <c r="B986" s="25"/>
      <c r="C986" s="25"/>
      <c r="D986" s="25"/>
      <c r="E986" s="6"/>
      <c r="F986" s="26" t="str">
        <f aca="false">IF(A986="","",MONTH(A986))</f>
        <v/>
      </c>
      <c r="G986" s="26" t="str">
        <f aca="false">IF(A986="","",YEAR(A986))</f>
        <v/>
      </c>
      <c r="H986" s="11" t="str">
        <f aca="false">IF(OR(C986="",B986&lt;&gt;"Pengeluaran"),"",IFERROR(INDEX(Dashboard!$B$18:$B$39,MATCH(C986,Dashboard!$A$18:$A$39,0)),""))</f>
        <v/>
      </c>
    </row>
    <row r="987" customFormat="false" ht="15" hidden="false" customHeight="false" outlineLevel="0" collapsed="false">
      <c r="A987" s="24"/>
      <c r="B987" s="25"/>
      <c r="C987" s="25"/>
      <c r="D987" s="25"/>
      <c r="E987" s="6"/>
      <c r="F987" s="26" t="str">
        <f aca="false">IF(A987="","",MONTH(A987))</f>
        <v/>
      </c>
      <c r="G987" s="26" t="str">
        <f aca="false">IF(A987="","",YEAR(A987))</f>
        <v/>
      </c>
      <c r="H987" s="11" t="str">
        <f aca="false">IF(OR(C987="",B987&lt;&gt;"Pengeluaran"),"",IFERROR(INDEX(Dashboard!$B$18:$B$39,MATCH(C987,Dashboard!$A$18:$A$39,0)),""))</f>
        <v/>
      </c>
    </row>
    <row r="988" customFormat="false" ht="15" hidden="false" customHeight="false" outlineLevel="0" collapsed="false">
      <c r="A988" s="24"/>
      <c r="B988" s="25"/>
      <c r="C988" s="25"/>
      <c r="D988" s="25"/>
      <c r="E988" s="6"/>
      <c r="F988" s="26" t="str">
        <f aca="false">IF(A988="","",MONTH(A988))</f>
        <v/>
      </c>
      <c r="G988" s="26" t="str">
        <f aca="false">IF(A988="","",YEAR(A988))</f>
        <v/>
      </c>
      <c r="H988" s="11" t="str">
        <f aca="false">IF(OR(C988="",B988&lt;&gt;"Pengeluaran"),"",IFERROR(INDEX(Dashboard!$B$18:$B$39,MATCH(C988,Dashboard!$A$18:$A$39,0)),""))</f>
        <v/>
      </c>
    </row>
    <row r="989" customFormat="false" ht="15" hidden="false" customHeight="false" outlineLevel="0" collapsed="false">
      <c r="A989" s="24"/>
      <c r="B989" s="25"/>
      <c r="C989" s="25"/>
      <c r="D989" s="25"/>
      <c r="E989" s="6"/>
      <c r="F989" s="26" t="str">
        <f aca="false">IF(A989="","",MONTH(A989))</f>
        <v/>
      </c>
      <c r="G989" s="26" t="str">
        <f aca="false">IF(A989="","",YEAR(A989))</f>
        <v/>
      </c>
      <c r="H989" s="11" t="str">
        <f aca="false">IF(OR(C989="",B989&lt;&gt;"Pengeluaran"),"",IFERROR(INDEX(Dashboard!$B$18:$B$39,MATCH(C989,Dashboard!$A$18:$A$39,0)),""))</f>
        <v/>
      </c>
    </row>
    <row r="990" customFormat="false" ht="15" hidden="false" customHeight="false" outlineLevel="0" collapsed="false">
      <c r="A990" s="24"/>
      <c r="B990" s="25"/>
      <c r="C990" s="25"/>
      <c r="D990" s="25"/>
      <c r="E990" s="6"/>
      <c r="F990" s="26" t="str">
        <f aca="false">IF(A990="","",MONTH(A990))</f>
        <v/>
      </c>
      <c r="G990" s="26" t="str">
        <f aca="false">IF(A990="","",YEAR(A990))</f>
        <v/>
      </c>
      <c r="H990" s="11" t="str">
        <f aca="false">IF(OR(C990="",B990&lt;&gt;"Pengeluaran"),"",IFERROR(INDEX(Dashboard!$B$18:$B$39,MATCH(C990,Dashboard!$A$18:$A$39,0)),""))</f>
        <v/>
      </c>
    </row>
    <row r="991" customFormat="false" ht="15" hidden="false" customHeight="false" outlineLevel="0" collapsed="false">
      <c r="A991" s="24"/>
      <c r="B991" s="25"/>
      <c r="C991" s="25"/>
      <c r="D991" s="25"/>
      <c r="E991" s="6"/>
      <c r="F991" s="26" t="str">
        <f aca="false">IF(A991="","",MONTH(A991))</f>
        <v/>
      </c>
      <c r="G991" s="26" t="str">
        <f aca="false">IF(A991="","",YEAR(A991))</f>
        <v/>
      </c>
      <c r="H991" s="11" t="str">
        <f aca="false">IF(OR(C991="",B991&lt;&gt;"Pengeluaran"),"",IFERROR(INDEX(Dashboard!$B$18:$B$39,MATCH(C991,Dashboard!$A$18:$A$39,0)),""))</f>
        <v/>
      </c>
    </row>
    <row r="992" customFormat="false" ht="15" hidden="false" customHeight="false" outlineLevel="0" collapsed="false">
      <c r="A992" s="24"/>
      <c r="B992" s="25"/>
      <c r="C992" s="25"/>
      <c r="D992" s="25"/>
      <c r="E992" s="6"/>
      <c r="F992" s="26" t="str">
        <f aca="false">IF(A992="","",MONTH(A992))</f>
        <v/>
      </c>
      <c r="G992" s="26" t="str">
        <f aca="false">IF(A992="","",YEAR(A992))</f>
        <v/>
      </c>
      <c r="H992" s="11" t="str">
        <f aca="false">IF(OR(C992="",B992&lt;&gt;"Pengeluaran"),"",IFERROR(INDEX(Dashboard!$B$18:$B$39,MATCH(C992,Dashboard!$A$18:$A$39,0)),""))</f>
        <v/>
      </c>
    </row>
    <row r="993" customFormat="false" ht="15" hidden="false" customHeight="false" outlineLevel="0" collapsed="false">
      <c r="A993" s="24"/>
      <c r="B993" s="25"/>
      <c r="C993" s="25"/>
      <c r="D993" s="25"/>
      <c r="E993" s="6"/>
      <c r="F993" s="26" t="str">
        <f aca="false">IF(A993="","",MONTH(A993))</f>
        <v/>
      </c>
      <c r="G993" s="26" t="str">
        <f aca="false">IF(A993="","",YEAR(A993))</f>
        <v/>
      </c>
      <c r="H993" s="11" t="str">
        <f aca="false">IF(OR(C993="",B993&lt;&gt;"Pengeluaran"),"",IFERROR(INDEX(Dashboard!$B$18:$B$39,MATCH(C993,Dashboard!$A$18:$A$39,0)),""))</f>
        <v/>
      </c>
    </row>
    <row r="994" customFormat="false" ht="15" hidden="false" customHeight="false" outlineLevel="0" collapsed="false">
      <c r="A994" s="24"/>
      <c r="B994" s="25"/>
      <c r="C994" s="25"/>
      <c r="D994" s="25"/>
      <c r="E994" s="6"/>
      <c r="F994" s="26" t="str">
        <f aca="false">IF(A994="","",MONTH(A994))</f>
        <v/>
      </c>
      <c r="G994" s="26" t="str">
        <f aca="false">IF(A994="","",YEAR(A994))</f>
        <v/>
      </c>
      <c r="H994" s="11" t="str">
        <f aca="false">IF(OR(C994="",B994&lt;&gt;"Pengeluaran"),"",IFERROR(INDEX(Dashboard!$B$18:$B$39,MATCH(C994,Dashboard!$A$18:$A$39,0)),""))</f>
        <v/>
      </c>
    </row>
    <row r="995" customFormat="false" ht="15" hidden="false" customHeight="false" outlineLevel="0" collapsed="false">
      <c r="A995" s="24"/>
      <c r="B995" s="25"/>
      <c r="C995" s="25"/>
      <c r="D995" s="25"/>
      <c r="E995" s="6"/>
      <c r="F995" s="26" t="str">
        <f aca="false">IF(A995="","",MONTH(A995))</f>
        <v/>
      </c>
      <c r="G995" s="26" t="str">
        <f aca="false">IF(A995="","",YEAR(A995))</f>
        <v/>
      </c>
      <c r="H995" s="11" t="str">
        <f aca="false">IF(OR(C995="",B995&lt;&gt;"Pengeluaran"),"",IFERROR(INDEX(Dashboard!$B$18:$B$39,MATCH(C995,Dashboard!$A$18:$A$39,0)),""))</f>
        <v/>
      </c>
    </row>
    <row r="996" customFormat="false" ht="15" hidden="false" customHeight="false" outlineLevel="0" collapsed="false">
      <c r="A996" s="24"/>
      <c r="B996" s="25"/>
      <c r="C996" s="25"/>
      <c r="D996" s="25"/>
      <c r="E996" s="6"/>
      <c r="F996" s="26" t="str">
        <f aca="false">IF(A996="","",MONTH(A996))</f>
        <v/>
      </c>
      <c r="G996" s="26" t="str">
        <f aca="false">IF(A996="","",YEAR(A996))</f>
        <v/>
      </c>
      <c r="H996" s="11" t="str">
        <f aca="false">IF(OR(C996="",B996&lt;&gt;"Pengeluaran"),"",IFERROR(INDEX(Dashboard!$B$18:$B$39,MATCH(C996,Dashboard!$A$18:$A$39,0)),""))</f>
        <v/>
      </c>
    </row>
    <row r="997" customFormat="false" ht="15" hidden="false" customHeight="false" outlineLevel="0" collapsed="false">
      <c r="A997" s="24"/>
      <c r="B997" s="25"/>
      <c r="C997" s="25"/>
      <c r="D997" s="25"/>
      <c r="E997" s="6"/>
      <c r="F997" s="26" t="str">
        <f aca="false">IF(A997="","",MONTH(A997))</f>
        <v/>
      </c>
      <c r="G997" s="26" t="str">
        <f aca="false">IF(A997="","",YEAR(A997))</f>
        <v/>
      </c>
      <c r="H997" s="11" t="str">
        <f aca="false">IF(OR(C997="",B997&lt;&gt;"Pengeluaran"),"",IFERROR(INDEX(Dashboard!$B$18:$B$39,MATCH(C997,Dashboard!$A$18:$A$39,0)),""))</f>
        <v/>
      </c>
    </row>
    <row r="998" customFormat="false" ht="15" hidden="false" customHeight="false" outlineLevel="0" collapsed="false">
      <c r="A998" s="24"/>
      <c r="B998" s="25"/>
      <c r="C998" s="25"/>
      <c r="D998" s="25"/>
      <c r="E998" s="6"/>
      <c r="F998" s="26" t="str">
        <f aca="false">IF(A998="","",MONTH(A998))</f>
        <v/>
      </c>
      <c r="G998" s="26" t="str">
        <f aca="false">IF(A998="","",YEAR(A998))</f>
        <v/>
      </c>
      <c r="H998" s="11" t="str">
        <f aca="false">IF(OR(C998="",B998&lt;&gt;"Pengeluaran"),"",IFERROR(INDEX(Dashboard!$B$18:$B$39,MATCH(C998,Dashboard!$A$18:$A$39,0)),""))</f>
        <v/>
      </c>
    </row>
    <row r="999" customFormat="false" ht="15" hidden="false" customHeight="false" outlineLevel="0" collapsed="false">
      <c r="A999" s="24"/>
      <c r="B999" s="25"/>
      <c r="C999" s="25"/>
      <c r="D999" s="25"/>
      <c r="E999" s="6"/>
      <c r="F999" s="26" t="str">
        <f aca="false">IF(A999="","",MONTH(A999))</f>
        <v/>
      </c>
      <c r="G999" s="26" t="str">
        <f aca="false">IF(A999="","",YEAR(A999))</f>
        <v/>
      </c>
      <c r="H999" s="11" t="str">
        <f aca="false">IF(OR(C999="",B999&lt;&gt;"Pengeluaran"),"",IFERROR(INDEX(Dashboard!$B$18:$B$39,MATCH(C999,Dashboard!$A$18:$A$39,0)),""))</f>
        <v/>
      </c>
    </row>
    <row r="1000" customFormat="false" ht="15" hidden="false" customHeight="false" outlineLevel="0" collapsed="false">
      <c r="A1000" s="24"/>
      <c r="B1000" s="25"/>
      <c r="C1000" s="25"/>
      <c r="D1000" s="25"/>
      <c r="E1000" s="6"/>
      <c r="F1000" s="26" t="str">
        <f aca="false">IF(A1000="","",MONTH(A1000))</f>
        <v/>
      </c>
      <c r="G1000" s="26" t="str">
        <f aca="false">IF(A1000="","",YEAR(A1000))</f>
        <v/>
      </c>
      <c r="H1000" s="11" t="str">
        <f aca="false">IF(OR(C1000="",B1000&lt;&gt;"Pengeluaran"),"",IFERROR(INDEX(Dashboard!$B$18:$B$39,MATCH(C1000,Dashboard!$A$18:$A$39,0)),""))</f>
        <v/>
      </c>
    </row>
    <row r="1001" customFormat="false" ht="15" hidden="false" customHeight="false" outlineLevel="0" collapsed="false">
      <c r="A1001" s="24"/>
      <c r="B1001" s="25"/>
      <c r="C1001" s="25"/>
      <c r="D1001" s="25"/>
      <c r="E1001" s="6"/>
      <c r="F1001" s="26" t="str">
        <f aca="false">IF(A1001="","",MONTH(A1001))</f>
        <v/>
      </c>
      <c r="G1001" s="26" t="str">
        <f aca="false">IF(A1001="","",YEAR(A1001))</f>
        <v/>
      </c>
      <c r="H1001" s="11" t="str">
        <f aca="false">IF(OR(C1001="",B1001&lt;&gt;"Pengeluaran"),"",IFERROR(INDEX(Dashboard!$B$18:$B$39,MATCH(C1001,Dashboard!$A$18:$A$39,0)),""))</f>
        <v/>
      </c>
    </row>
    <row r="1002" customFormat="false" ht="15" hidden="false" customHeight="false" outlineLevel="0" collapsed="false">
      <c r="A1002" s="24"/>
      <c r="B1002" s="25"/>
      <c r="C1002" s="25"/>
      <c r="D1002" s="25"/>
      <c r="E1002" s="6"/>
      <c r="F1002" s="26" t="str">
        <f aca="false">IF(A1002="","",MONTH(A1002))</f>
        <v/>
      </c>
      <c r="G1002" s="26" t="str">
        <f aca="false">IF(A1002="","",YEAR(A1002))</f>
        <v/>
      </c>
      <c r="H1002" s="11" t="str">
        <f aca="false">IF(OR(C1002="",B1002&lt;&gt;"Pengeluaran"),"",IFERROR(INDEX(Dashboard!$B$18:$B$39,MATCH(C1002,Dashboard!$A$18:$A$39,0)),""))</f>
        <v/>
      </c>
    </row>
    <row r="1003" customFormat="false" ht="15" hidden="false" customHeight="false" outlineLevel="0" collapsed="false">
      <c r="A1003" s="24"/>
      <c r="B1003" s="25"/>
      <c r="C1003" s="25"/>
      <c r="D1003" s="25"/>
      <c r="E1003" s="6"/>
      <c r="F1003" s="26" t="str">
        <f aca="false">IF(A1003="","",MONTH(A1003))</f>
        <v/>
      </c>
      <c r="G1003" s="26" t="str">
        <f aca="false">IF(A1003="","",YEAR(A1003))</f>
        <v/>
      </c>
      <c r="H1003" s="11" t="str">
        <f aca="false">IF(OR(C1003="",B1003&lt;&gt;"Pengeluaran"),"",IFERROR(INDEX(Dashboard!$B$18:$B$39,MATCH(C1003,Dashboard!$A$18:$A$39,0)),""))</f>
        <v/>
      </c>
    </row>
    <row r="1004" customFormat="false" ht="15" hidden="false" customHeight="false" outlineLevel="0" collapsed="false">
      <c r="A1004" s="24"/>
      <c r="B1004" s="25"/>
      <c r="C1004" s="25"/>
      <c r="D1004" s="25"/>
      <c r="E1004" s="6"/>
      <c r="F1004" s="26" t="str">
        <f aca="false">IF(A1004="","",MONTH(A1004))</f>
        <v/>
      </c>
      <c r="G1004" s="26" t="str">
        <f aca="false">IF(A1004="","",YEAR(A1004))</f>
        <v/>
      </c>
      <c r="H1004" s="11" t="str">
        <f aca="false">IF(OR(C1004="",B1004&lt;&gt;"Pengeluaran"),"",IFERROR(INDEX(Dashboard!$B$18:$B$39,MATCH(C1004,Dashboard!$A$18:$A$39,0)),""))</f>
        <v/>
      </c>
    </row>
    <row r="1005" customFormat="false" ht="15" hidden="false" customHeight="false" outlineLevel="0" collapsed="false">
      <c r="A1005" s="24"/>
      <c r="B1005" s="25"/>
      <c r="C1005" s="25"/>
      <c r="D1005" s="25"/>
      <c r="E1005" s="6"/>
      <c r="F1005" s="26" t="str">
        <f aca="false">IF(A1005="","",MONTH(A1005))</f>
        <v/>
      </c>
      <c r="G1005" s="26" t="str">
        <f aca="false">IF(A1005="","",YEAR(A1005))</f>
        <v/>
      </c>
      <c r="H1005" s="11" t="str">
        <f aca="false">IF(OR(C1005="",B1005&lt;&gt;"Pengeluaran"),"",IFERROR(INDEX(Dashboard!$B$18:$B$39,MATCH(C1005,Dashboard!$A$18:$A$39,0)),""))</f>
        <v/>
      </c>
    </row>
    <row r="1006" customFormat="false" ht="15" hidden="false" customHeight="false" outlineLevel="0" collapsed="false">
      <c r="A1006" s="24"/>
      <c r="B1006" s="25"/>
      <c r="C1006" s="25"/>
      <c r="D1006" s="25"/>
      <c r="E1006" s="6"/>
      <c r="F1006" s="26" t="str">
        <f aca="false">IF(A1006="","",MONTH(A1006))</f>
        <v/>
      </c>
      <c r="G1006" s="26" t="str">
        <f aca="false">IF(A1006="","",YEAR(A1006))</f>
        <v/>
      </c>
      <c r="H1006" s="11" t="str">
        <f aca="false">IF(OR(C1006="",B1006&lt;&gt;"Pengeluaran"),"",IFERROR(INDEX(Dashboard!$B$18:$B$39,MATCH(C1006,Dashboard!$A$18:$A$39,0)),""))</f>
        <v/>
      </c>
    </row>
  </sheetData>
  <dataValidations count="3">
    <dataValidation allowBlank="true" errorStyle="stop" operator="between" showDropDown="false" showErrorMessage="true" showInputMessage="false" sqref="B7:B1006" type="list">
      <formula1>"Pemasukan,Pengeluaran"</formula1>
      <formula2>0</formula2>
    </dataValidation>
    <dataValidation allowBlank="true" errorStyle="warning" operator="between" showDropDown="false" showErrorMessage="true" showInputMessage="false" sqref="C7:C1006" type="list">
      <formula1>Dashboard!$A$18:$A$39</formula1>
      <formula2>0</formula2>
    </dataValidation>
    <dataValidation allowBlank="true" error="Isi angka positif (tanpa tanda minus)" errorStyle="stop" operator="greaterThanOrEqual" showDropDown="false" showErrorMessage="true" showInputMessage="false" sqref="E7:E100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9" min="3" style="0" width="2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3" customFormat="false" ht="15" hidden="false" customHeight="false" outlineLevel="0" collapsed="false">
      <c r="A3" s="7" t="s">
        <v>55</v>
      </c>
      <c r="B3" s="9" t="n">
        <v>1</v>
      </c>
      <c r="C3" s="27" t="s">
        <v>56</v>
      </c>
      <c r="D3" s="28" t="n">
        <f aca="false">Mulai!$B$17</f>
        <v>2026</v>
      </c>
    </row>
    <row r="5" customFormat="false" ht="15" hidden="false" customHeight="false" outlineLevel="0" collapsed="false">
      <c r="A5" s="3" t="s">
        <v>57</v>
      </c>
    </row>
    <row r="6" customFormat="false" ht="15" hidden="false" customHeight="false" outlineLevel="0" collapsed="false">
      <c r="A6" s="10" t="s">
        <v>52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64</v>
      </c>
    </row>
    <row r="7" customFormat="false" ht="15" hidden="false" customHeight="false" outlineLevel="0" collapsed="false">
      <c r="A7" s="29" t="s">
        <v>22</v>
      </c>
      <c r="B7" s="12" t="n">
        <f aca="false">INDEX(Mulai!$B$22:$B$25,MATCH(A7,Mulai!$A$22:$A$25,0))</f>
        <v>0.25</v>
      </c>
      <c r="C7" s="12" t="n">
        <f aca="false">SUMIFS($C$18:$C$39,$B$18:$B$39,A7)</f>
        <v>1</v>
      </c>
      <c r="D7" s="13" t="n">
        <f aca="false">SUMIFS($D$18:$D$39,$B$18:$B$39,A7)</f>
        <v>18750000</v>
      </c>
      <c r="E7" s="13" t="n">
        <f aca="false">SUMIFS($E$18:$E$39,$B$18:$B$39,A7)</f>
        <v>0</v>
      </c>
      <c r="F7" s="13" t="n">
        <f aca="false">D7-E7</f>
        <v>18750000</v>
      </c>
      <c r="G7" s="12" t="n">
        <f aca="false">IF(D7=0,0,E7/D7)</f>
        <v>0</v>
      </c>
      <c r="H7" s="30" t="str">
        <f aca="false">IF(ROUND(C7,4)=1,"OK","Porsi harus 100%")</f>
        <v>OK</v>
      </c>
    </row>
    <row r="8" customFormat="false" ht="15" hidden="false" customHeight="false" outlineLevel="0" collapsed="false">
      <c r="A8" s="29" t="s">
        <v>23</v>
      </c>
      <c r="B8" s="12" t="n">
        <f aca="false">INDEX(Mulai!$B$22:$B$25,MATCH(A8,Mulai!$A$22:$A$25,0))</f>
        <v>0.2</v>
      </c>
      <c r="C8" s="12" t="n">
        <f aca="false">SUMIFS($C$18:$C$39,$B$18:$B$39,A8)</f>
        <v>1</v>
      </c>
      <c r="D8" s="13" t="n">
        <f aca="false">SUMIFS($D$18:$D$39,$B$18:$B$39,A8)</f>
        <v>15000000</v>
      </c>
      <c r="E8" s="13" t="n">
        <f aca="false">SUMIFS($E$18:$E$39,$B$18:$B$39,A8)</f>
        <v>0</v>
      </c>
      <c r="F8" s="13" t="n">
        <f aca="false">D8-E8</f>
        <v>15000000</v>
      </c>
      <c r="G8" s="12" t="n">
        <f aca="false">IF(D8=0,0,E8/D8)</f>
        <v>0</v>
      </c>
      <c r="H8" s="30" t="str">
        <f aca="false">IF(ROUND(C8,4)=1,"OK","Porsi harus 100%")</f>
        <v>OK</v>
      </c>
    </row>
    <row r="9" customFormat="false" ht="15" hidden="false" customHeight="false" outlineLevel="0" collapsed="false">
      <c r="A9" s="29" t="s">
        <v>24</v>
      </c>
      <c r="B9" s="12" t="n">
        <f aca="false">INDEX(Mulai!$B$22:$B$25,MATCH(A9,Mulai!$A$22:$A$25,0))</f>
        <v>0.2</v>
      </c>
      <c r="C9" s="12" t="n">
        <f aca="false">SUMIFS($C$18:$C$39,$B$18:$B$39,A9)</f>
        <v>1</v>
      </c>
      <c r="D9" s="13" t="n">
        <f aca="false">SUMIFS($D$18:$D$39,$B$18:$B$39,A9)</f>
        <v>15000000</v>
      </c>
      <c r="E9" s="13" t="n">
        <f aca="false">SUMIFS($E$18:$E$39,$B$18:$B$39,A9)</f>
        <v>0</v>
      </c>
      <c r="F9" s="13" t="n">
        <f aca="false">D9-E9</f>
        <v>15000000</v>
      </c>
      <c r="G9" s="12" t="n">
        <f aca="false">IF(D9=0,0,E9/D9)</f>
        <v>0</v>
      </c>
      <c r="H9" s="30" t="str">
        <f aca="false">IF(ROUND(C9,4)=1,"OK","Porsi harus 100%")</f>
        <v>OK</v>
      </c>
    </row>
    <row r="10" customFormat="false" ht="15" hidden="false" customHeight="false" outlineLevel="0" collapsed="false">
      <c r="A10" s="29" t="s">
        <v>25</v>
      </c>
      <c r="B10" s="12" t="n">
        <f aca="false">INDEX(Mulai!$B$22:$B$25,MATCH(A10,Mulai!$A$22:$A$25,0))</f>
        <v>0.35</v>
      </c>
      <c r="C10" s="12" t="n">
        <f aca="false">SUMIFS($C$18:$C$39,$B$18:$B$39,A10)</f>
        <v>1</v>
      </c>
      <c r="D10" s="13" t="n">
        <f aca="false">SUMIFS($D$18:$D$39,$B$18:$B$39,A10)</f>
        <v>26250000</v>
      </c>
      <c r="E10" s="13" t="n">
        <f aca="false">SUMIFS($E$18:$E$39,$B$18:$B$39,A10)</f>
        <v>0</v>
      </c>
      <c r="F10" s="13" t="n">
        <f aca="false">D10-E10</f>
        <v>26250000</v>
      </c>
      <c r="G10" s="12" t="n">
        <f aca="false">IF(D10=0,0,E10/D10)</f>
        <v>0</v>
      </c>
      <c r="H10" s="30" t="str">
        <f aca="false">IF(ROUND(C10,4)=1,"OK","Porsi harus 100%")</f>
        <v>OK</v>
      </c>
    </row>
    <row r="12" customFormat="false" ht="15" hidden="false" customHeight="false" outlineLevel="0" collapsed="false">
      <c r="A12" s="7" t="s">
        <v>65</v>
      </c>
      <c r="D12" s="8" t="n">
        <f aca="false">SUMIFS(Transaksi!$E$7:$E$1006,Transaksi!$B$7:$B$1006,"Pemasukan",Transaksi!$F$7:$F$1006,$B$3,Transaksi!$G$7:$G$1006,Mulai!$B$17)</f>
        <v>0</v>
      </c>
    </row>
    <row r="13" customFormat="false" ht="15" hidden="false" customHeight="false" outlineLevel="0" collapsed="false">
      <c r="A13" s="7" t="s">
        <v>66</v>
      </c>
      <c r="D13" s="8" t="n">
        <f aca="false">SUM(E7:E10)</f>
        <v>0</v>
      </c>
    </row>
    <row r="14" customFormat="false" ht="15" hidden="false" customHeight="false" outlineLevel="0" collapsed="false">
      <c r="A14" s="7" t="s">
        <v>67</v>
      </c>
      <c r="D14" s="8" t="n">
        <f aca="false">D12-D13</f>
        <v>0</v>
      </c>
    </row>
    <row r="16" customFormat="false" ht="15" hidden="false" customHeight="false" outlineLevel="0" collapsed="false">
      <c r="A16" s="3" t="s">
        <v>68</v>
      </c>
    </row>
    <row r="17" customFormat="false" ht="15" hidden="false" customHeight="false" outlineLevel="0" collapsed="false">
      <c r="A17" s="10" t="s">
        <v>47</v>
      </c>
      <c r="B17" s="10" t="s">
        <v>52</v>
      </c>
      <c r="C17" s="10" t="s">
        <v>69</v>
      </c>
      <c r="D17" s="10" t="s">
        <v>60</v>
      </c>
      <c r="E17" s="10" t="s">
        <v>61</v>
      </c>
      <c r="F17" s="10" t="s">
        <v>62</v>
      </c>
      <c r="G17" s="10" t="s">
        <v>63</v>
      </c>
      <c r="H17" s="10" t="s">
        <v>70</v>
      </c>
    </row>
    <row r="18" customFormat="false" ht="15" hidden="false" customHeight="false" outlineLevel="0" collapsed="false">
      <c r="A18" s="11" t="s">
        <v>71</v>
      </c>
      <c r="B18" s="11" t="s">
        <v>22</v>
      </c>
      <c r="C18" s="18" t="n">
        <v>0.65</v>
      </c>
      <c r="D18" s="13" t="n">
        <f aca="false">C18*INDEX(Mulai!$C$22:$C$25,MATCH(B18,Mulai!$A$22:$A$25,0))</f>
        <v>12187500</v>
      </c>
      <c r="E18" s="13" t="n">
        <f aca="false">SUMIFS(Transaksi!$E$7:$E$1006,Transaksi!$B$7:$B$1006,"Pengeluaran",Transaksi!$C$7:$C$1006,A18,Transaksi!$F$7:$F$1006,$B$3,Transaksi!$G$7:$G$1006,Mulai!$B$17)</f>
        <v>0</v>
      </c>
      <c r="F18" s="13" t="n">
        <f aca="false">D18-E18</f>
        <v>12187500</v>
      </c>
      <c r="G18" s="12" t="n">
        <f aca="false">IF(D18=0,0,E18/D18)</f>
        <v>0</v>
      </c>
      <c r="H18" s="30" t="str">
        <f aca="false">IF(D18=0,"-",IF(E18&gt;D18,"Melebihi",IF(E18&gt;=0.8*D18,"Hampir habis","Aman")))</f>
        <v>Aman</v>
      </c>
    </row>
    <row r="19" customFormat="false" ht="15" hidden="false" customHeight="false" outlineLevel="0" collapsed="false">
      <c r="A19" s="11" t="s">
        <v>72</v>
      </c>
      <c r="B19" s="11" t="s">
        <v>22</v>
      </c>
      <c r="C19" s="18" t="n">
        <v>0.27</v>
      </c>
      <c r="D19" s="13" t="n">
        <f aca="false">C19*INDEX(Mulai!$C$22:$C$25,MATCH(B19,Mulai!$A$22:$A$25,0))</f>
        <v>5062500</v>
      </c>
      <c r="E19" s="13" t="n">
        <f aca="false">SUMIFS(Transaksi!$E$7:$E$1006,Transaksi!$B$7:$B$1006,"Pengeluaran",Transaksi!$C$7:$C$1006,A19,Transaksi!$F$7:$F$1006,$B$3,Transaksi!$G$7:$G$1006,Mulai!$B$17)</f>
        <v>0</v>
      </c>
      <c r="F19" s="13" t="n">
        <f aca="false">D19-E19</f>
        <v>5062500</v>
      </c>
      <c r="G19" s="12" t="n">
        <f aca="false">IF(D19=0,0,E19/D19)</f>
        <v>0</v>
      </c>
      <c r="H19" s="30" t="str">
        <f aca="false">IF(D19=0,"-",IF(E19&gt;D19,"Melebihi",IF(E19&gt;=0.8*D19,"Hampir habis","Aman")))</f>
        <v>Aman</v>
      </c>
    </row>
    <row r="20" customFormat="false" ht="15" hidden="false" customHeight="false" outlineLevel="0" collapsed="false">
      <c r="A20" s="11" t="s">
        <v>73</v>
      </c>
      <c r="B20" s="11" t="s">
        <v>22</v>
      </c>
      <c r="C20" s="18" t="n">
        <v>0.08</v>
      </c>
      <c r="D20" s="13" t="n">
        <f aca="false">C20*INDEX(Mulai!$C$22:$C$25,MATCH(B20,Mulai!$A$22:$A$25,0))</f>
        <v>1500000</v>
      </c>
      <c r="E20" s="13" t="n">
        <f aca="false">SUMIFS(Transaksi!$E$7:$E$1006,Transaksi!$B$7:$B$1006,"Pengeluaran",Transaksi!$C$7:$C$1006,A20,Transaksi!$F$7:$F$1006,$B$3,Transaksi!$G$7:$G$1006,Mulai!$B$17)</f>
        <v>0</v>
      </c>
      <c r="F20" s="13" t="n">
        <f aca="false">D20-E20</f>
        <v>1500000</v>
      </c>
      <c r="G20" s="12" t="n">
        <f aca="false">IF(D20=0,0,E20/D20)</f>
        <v>0</v>
      </c>
      <c r="H20" s="30" t="str">
        <f aca="false">IF(D20=0,"-",IF(E20&gt;D20,"Melebihi",IF(E20&gt;=0.8*D20,"Hampir habis","Aman")))</f>
        <v>Aman</v>
      </c>
    </row>
    <row r="21" customFormat="false" ht="15" hidden="false" customHeight="false" outlineLevel="0" collapsed="false">
      <c r="A21" s="11" t="s">
        <v>74</v>
      </c>
      <c r="B21" s="11" t="s">
        <v>22</v>
      </c>
      <c r="C21" s="18" t="n">
        <v>0</v>
      </c>
      <c r="D21" s="13" t="n">
        <f aca="false">C21*INDEX(Mulai!$C$22:$C$25,MATCH(B21,Mulai!$A$22:$A$25,0))</f>
        <v>0</v>
      </c>
      <c r="E21" s="13" t="n">
        <f aca="false">SUMIFS(Transaksi!$E$7:$E$1006,Transaksi!$B$7:$B$1006,"Pengeluaran",Transaksi!$C$7:$C$1006,A21,Transaksi!$F$7:$F$1006,$B$3,Transaksi!$G$7:$G$1006,Mulai!$B$17)</f>
        <v>0</v>
      </c>
      <c r="F21" s="13" t="n">
        <f aca="false">D21-E21</f>
        <v>0</v>
      </c>
      <c r="G21" s="12" t="n">
        <f aca="false">IF(D21=0,0,E21/D21)</f>
        <v>0</v>
      </c>
      <c r="H21" s="30" t="str">
        <f aca="false">IF(D21=0,"-",IF(E21&gt;D21,"Melebihi",IF(E21&gt;=0.8*D21,"Hampir habis","Aman")))</f>
        <v>-</v>
      </c>
    </row>
    <row r="22" customFormat="false" ht="15" hidden="false" customHeight="false" outlineLevel="0" collapsed="false">
      <c r="A22" s="11" t="s">
        <v>42</v>
      </c>
      <c r="B22" s="11" t="s">
        <v>23</v>
      </c>
      <c r="C22" s="18" t="n">
        <v>0.3</v>
      </c>
      <c r="D22" s="13" t="n">
        <f aca="false">C22*INDEX(Mulai!$C$22:$C$25,MATCH(B22,Mulai!$A$22:$A$25,0))</f>
        <v>4500000</v>
      </c>
      <c r="E22" s="13" t="n">
        <f aca="false">SUMIFS(Transaksi!$E$7:$E$1006,Transaksi!$B$7:$B$1006,"Pengeluaran",Transaksi!$C$7:$C$1006,A22,Transaksi!$F$7:$F$1006,$B$3,Transaksi!$G$7:$G$1006,Mulai!$B$17)</f>
        <v>0</v>
      </c>
      <c r="F22" s="13" t="n">
        <f aca="false">D22-E22</f>
        <v>4500000</v>
      </c>
      <c r="G22" s="12" t="n">
        <f aca="false">IF(D22=0,0,E22/D22)</f>
        <v>0</v>
      </c>
      <c r="H22" s="30" t="str">
        <f aca="false">IF(D22=0,"-",IF(E22&gt;D22,"Melebihi",IF(E22&gt;=0.8*D22,"Hampir habis","Aman")))</f>
        <v>Aman</v>
      </c>
    </row>
    <row r="23" customFormat="false" ht="15" hidden="false" customHeight="false" outlineLevel="0" collapsed="false">
      <c r="A23" s="11" t="s">
        <v>75</v>
      </c>
      <c r="B23" s="11" t="s">
        <v>23</v>
      </c>
      <c r="C23" s="18" t="n">
        <v>0.15</v>
      </c>
      <c r="D23" s="13" t="n">
        <f aca="false">C23*INDEX(Mulai!$C$22:$C$25,MATCH(B23,Mulai!$A$22:$A$25,0))</f>
        <v>2250000</v>
      </c>
      <c r="E23" s="13" t="n">
        <f aca="false">SUMIFS(Transaksi!$E$7:$E$1006,Transaksi!$B$7:$B$1006,"Pengeluaran",Transaksi!$C$7:$C$1006,A23,Transaksi!$F$7:$F$1006,$B$3,Transaksi!$G$7:$G$1006,Mulai!$B$17)</f>
        <v>0</v>
      </c>
      <c r="F23" s="13" t="n">
        <f aca="false">D23-E23</f>
        <v>2250000</v>
      </c>
      <c r="G23" s="12" t="n">
        <f aca="false">IF(D23=0,0,E23/D23)</f>
        <v>0</v>
      </c>
      <c r="H23" s="30" t="str">
        <f aca="false">IF(D23=0,"-",IF(E23&gt;D23,"Melebihi",IF(E23&gt;=0.8*D23,"Hampir habis","Aman")))</f>
        <v>Aman</v>
      </c>
    </row>
    <row r="24" customFormat="false" ht="15" hidden="false" customHeight="false" outlineLevel="0" collapsed="false">
      <c r="A24" s="11" t="s">
        <v>76</v>
      </c>
      <c r="B24" s="11" t="s">
        <v>23</v>
      </c>
      <c r="C24" s="18" t="n">
        <v>0.12</v>
      </c>
      <c r="D24" s="13" t="n">
        <f aca="false">C24*INDEX(Mulai!$C$22:$C$25,MATCH(B24,Mulai!$A$22:$A$25,0))</f>
        <v>1800000</v>
      </c>
      <c r="E24" s="13" t="n">
        <f aca="false">SUMIFS(Transaksi!$E$7:$E$1006,Transaksi!$B$7:$B$1006,"Pengeluaran",Transaksi!$C$7:$C$1006,A24,Transaksi!$F$7:$F$1006,$B$3,Transaksi!$G$7:$G$1006,Mulai!$B$17)</f>
        <v>0</v>
      </c>
      <c r="F24" s="13" t="n">
        <f aca="false">D24-E24</f>
        <v>1800000</v>
      </c>
      <c r="G24" s="12" t="n">
        <f aca="false">IF(D24=0,0,E24/D24)</f>
        <v>0</v>
      </c>
      <c r="H24" s="30" t="str">
        <f aca="false">IF(D24=0,"-",IF(E24&gt;D24,"Melebihi",IF(E24&gt;=0.8*D24,"Hampir habis","Aman")))</f>
        <v>Aman</v>
      </c>
    </row>
    <row r="25" customFormat="false" ht="15" hidden="false" customHeight="false" outlineLevel="0" collapsed="false">
      <c r="A25" s="11" t="s">
        <v>77</v>
      </c>
      <c r="B25" s="11" t="s">
        <v>23</v>
      </c>
      <c r="C25" s="18" t="n">
        <v>0.08</v>
      </c>
      <c r="D25" s="13" t="n">
        <f aca="false">C25*INDEX(Mulai!$C$22:$C$25,MATCH(B25,Mulai!$A$22:$A$25,0))</f>
        <v>1200000</v>
      </c>
      <c r="E25" s="13" t="n">
        <f aca="false">SUMIFS(Transaksi!$E$7:$E$1006,Transaksi!$B$7:$B$1006,"Pengeluaran",Transaksi!$C$7:$C$1006,A25,Transaksi!$F$7:$F$1006,$B$3,Transaksi!$G$7:$G$1006,Mulai!$B$17)</f>
        <v>0</v>
      </c>
      <c r="F25" s="13" t="n">
        <f aca="false">D25-E25</f>
        <v>1200000</v>
      </c>
      <c r="G25" s="12" t="n">
        <f aca="false">IF(D25=0,0,E25/D25)</f>
        <v>0</v>
      </c>
      <c r="H25" s="30" t="str">
        <f aca="false">IF(D25=0,"-",IF(E25&gt;D25,"Melebihi",IF(E25&gt;=0.8*D25,"Hampir habis","Aman")))</f>
        <v>Aman</v>
      </c>
    </row>
    <row r="26" customFormat="false" ht="15" hidden="false" customHeight="false" outlineLevel="0" collapsed="false">
      <c r="A26" s="11" t="s">
        <v>78</v>
      </c>
      <c r="B26" s="11" t="s">
        <v>23</v>
      </c>
      <c r="C26" s="18" t="n">
        <v>0.03</v>
      </c>
      <c r="D26" s="13" t="n">
        <f aca="false">C26*INDEX(Mulai!$C$22:$C$25,MATCH(B26,Mulai!$A$22:$A$25,0))</f>
        <v>450000</v>
      </c>
      <c r="E26" s="13" t="n">
        <f aca="false">SUMIFS(Transaksi!$E$7:$E$1006,Transaksi!$B$7:$B$1006,"Pengeluaran",Transaksi!$C$7:$C$1006,A26,Transaksi!$F$7:$F$1006,$B$3,Transaksi!$G$7:$G$1006,Mulai!$B$17)</f>
        <v>0</v>
      </c>
      <c r="F26" s="13" t="n">
        <f aca="false">D26-E26</f>
        <v>450000</v>
      </c>
      <c r="G26" s="12" t="n">
        <f aca="false">IF(D26=0,0,E26/D26)</f>
        <v>0</v>
      </c>
      <c r="H26" s="30" t="str">
        <f aca="false">IF(D26=0,"-",IF(E26&gt;D26,"Melebihi",IF(E26&gt;=0.8*D26,"Hampir habis","Aman")))</f>
        <v>Aman</v>
      </c>
    </row>
    <row r="27" customFormat="false" ht="15" hidden="false" customHeight="false" outlineLevel="0" collapsed="false">
      <c r="A27" s="11" t="s">
        <v>79</v>
      </c>
      <c r="B27" s="11" t="s">
        <v>23</v>
      </c>
      <c r="C27" s="18" t="n">
        <v>0.07</v>
      </c>
      <c r="D27" s="13" t="n">
        <f aca="false">C27*INDEX(Mulai!$C$22:$C$25,MATCH(B27,Mulai!$A$22:$A$25,0))</f>
        <v>1050000</v>
      </c>
      <c r="E27" s="13" t="n">
        <f aca="false">SUMIFS(Transaksi!$E$7:$E$1006,Transaksi!$B$7:$B$1006,"Pengeluaran",Transaksi!$C$7:$C$1006,A27,Transaksi!$F$7:$F$1006,$B$3,Transaksi!$G$7:$G$1006,Mulai!$B$17)</f>
        <v>0</v>
      </c>
      <c r="F27" s="13" t="n">
        <f aca="false">D27-E27</f>
        <v>1050000</v>
      </c>
      <c r="G27" s="12" t="n">
        <f aca="false">IF(D27=0,0,E27/D27)</f>
        <v>0</v>
      </c>
      <c r="H27" s="30" t="str">
        <f aca="false">IF(D27=0,"-",IF(E27&gt;D27,"Melebihi",IF(E27&gt;=0.8*D27,"Hampir habis","Aman")))</f>
        <v>Aman</v>
      </c>
    </row>
    <row r="28" customFormat="false" ht="15" hidden="false" customHeight="false" outlineLevel="0" collapsed="false">
      <c r="A28" s="11" t="s">
        <v>80</v>
      </c>
      <c r="B28" s="11" t="s">
        <v>23</v>
      </c>
      <c r="C28" s="18" t="n">
        <v>0.08</v>
      </c>
      <c r="D28" s="13" t="n">
        <f aca="false">C28*INDEX(Mulai!$C$22:$C$25,MATCH(B28,Mulai!$A$22:$A$25,0))</f>
        <v>1200000</v>
      </c>
      <c r="E28" s="13" t="n">
        <f aca="false">SUMIFS(Transaksi!$E$7:$E$1006,Transaksi!$B$7:$B$1006,"Pengeluaran",Transaksi!$C$7:$C$1006,A28,Transaksi!$F$7:$F$1006,$B$3,Transaksi!$G$7:$G$1006,Mulai!$B$17)</f>
        <v>0</v>
      </c>
      <c r="F28" s="13" t="n">
        <f aca="false">D28-E28</f>
        <v>1200000</v>
      </c>
      <c r="G28" s="12" t="n">
        <f aca="false">IF(D28=0,0,E28/D28)</f>
        <v>0</v>
      </c>
      <c r="H28" s="30" t="str">
        <f aca="false">IF(D28=0,"-",IF(E28&gt;D28,"Melebihi",IF(E28&gt;=0.8*D28,"Hampir habis","Aman")))</f>
        <v>Aman</v>
      </c>
    </row>
    <row r="29" customFormat="false" ht="15" hidden="false" customHeight="false" outlineLevel="0" collapsed="false">
      <c r="A29" s="11" t="s">
        <v>81</v>
      </c>
      <c r="B29" s="11" t="s">
        <v>23</v>
      </c>
      <c r="C29" s="18" t="n">
        <v>0.06</v>
      </c>
      <c r="D29" s="13" t="n">
        <f aca="false">C29*INDEX(Mulai!$C$22:$C$25,MATCH(B29,Mulai!$A$22:$A$25,0))</f>
        <v>900000</v>
      </c>
      <c r="E29" s="13" t="n">
        <f aca="false">SUMIFS(Transaksi!$E$7:$E$1006,Transaksi!$B$7:$B$1006,"Pengeluaran",Transaksi!$C$7:$C$1006,A29,Transaksi!$F$7:$F$1006,$B$3,Transaksi!$G$7:$G$1006,Mulai!$B$17)</f>
        <v>0</v>
      </c>
      <c r="F29" s="13" t="n">
        <f aca="false">D29-E29</f>
        <v>900000</v>
      </c>
      <c r="G29" s="12" t="n">
        <f aca="false">IF(D29=0,0,E29/D29)</f>
        <v>0</v>
      </c>
      <c r="H29" s="30" t="str">
        <f aca="false">IF(D29=0,"-",IF(E29&gt;D29,"Melebihi",IF(E29&gt;=0.8*D29,"Hampir habis","Aman")))</f>
        <v>Aman</v>
      </c>
    </row>
    <row r="30" customFormat="false" ht="15" hidden="false" customHeight="false" outlineLevel="0" collapsed="false">
      <c r="A30" s="11" t="s">
        <v>82</v>
      </c>
      <c r="B30" s="11" t="s">
        <v>23</v>
      </c>
      <c r="C30" s="18" t="n">
        <v>0.05</v>
      </c>
      <c r="D30" s="13" t="n">
        <f aca="false">C30*INDEX(Mulai!$C$22:$C$25,MATCH(B30,Mulai!$A$22:$A$25,0))</f>
        <v>750000</v>
      </c>
      <c r="E30" s="13" t="n">
        <f aca="false">SUMIFS(Transaksi!$E$7:$E$1006,Transaksi!$B$7:$B$1006,"Pengeluaran",Transaksi!$C$7:$C$1006,A30,Transaksi!$F$7:$F$1006,$B$3,Transaksi!$G$7:$G$1006,Mulai!$B$17)</f>
        <v>0</v>
      </c>
      <c r="F30" s="13" t="n">
        <f aca="false">D30-E30</f>
        <v>750000</v>
      </c>
      <c r="G30" s="12" t="n">
        <f aca="false">IF(D30=0,0,E30/D30)</f>
        <v>0</v>
      </c>
      <c r="H30" s="30" t="str">
        <f aca="false">IF(D30=0,"-",IF(E30&gt;D30,"Melebihi",IF(E30&gt;=0.8*D30,"Hampir habis","Aman")))</f>
        <v>Aman</v>
      </c>
    </row>
    <row r="31" customFormat="false" ht="15" hidden="false" customHeight="false" outlineLevel="0" collapsed="false">
      <c r="A31" s="11" t="s">
        <v>83</v>
      </c>
      <c r="B31" s="11" t="s">
        <v>23</v>
      </c>
      <c r="C31" s="18" t="n">
        <v>0.03</v>
      </c>
      <c r="D31" s="13" t="n">
        <f aca="false">C31*INDEX(Mulai!$C$22:$C$25,MATCH(B31,Mulai!$A$22:$A$25,0))</f>
        <v>450000</v>
      </c>
      <c r="E31" s="13" t="n">
        <f aca="false">SUMIFS(Transaksi!$E$7:$E$1006,Transaksi!$B$7:$B$1006,"Pengeluaran",Transaksi!$C$7:$C$1006,A31,Transaksi!$F$7:$F$1006,$B$3,Transaksi!$G$7:$G$1006,Mulai!$B$17)</f>
        <v>0</v>
      </c>
      <c r="F31" s="13" t="n">
        <f aca="false">D31-E31</f>
        <v>450000</v>
      </c>
      <c r="G31" s="12" t="n">
        <f aca="false">IF(D31=0,0,E31/D31)</f>
        <v>0</v>
      </c>
      <c r="H31" s="30" t="str">
        <f aca="false">IF(D31=0,"-",IF(E31&gt;D31,"Melebihi",IF(E31&gt;=0.8*D31,"Hampir habis","Aman")))</f>
        <v>Aman</v>
      </c>
    </row>
    <row r="32" customFormat="false" ht="15" hidden="false" customHeight="false" outlineLevel="0" collapsed="false">
      <c r="A32" s="11" t="s">
        <v>84</v>
      </c>
      <c r="B32" s="11" t="s">
        <v>23</v>
      </c>
      <c r="C32" s="18" t="n">
        <v>0.03</v>
      </c>
      <c r="D32" s="13" t="n">
        <f aca="false">C32*INDEX(Mulai!$C$22:$C$25,MATCH(B32,Mulai!$A$22:$A$25,0))</f>
        <v>450000</v>
      </c>
      <c r="E32" s="13" t="n">
        <f aca="false">SUMIFS(Transaksi!$E$7:$E$1006,Transaksi!$B$7:$B$1006,"Pengeluaran",Transaksi!$C$7:$C$1006,A32,Transaksi!$F$7:$F$1006,$B$3,Transaksi!$G$7:$G$1006,Mulai!$B$17)</f>
        <v>0</v>
      </c>
      <c r="F32" s="13" t="n">
        <f aca="false">D32-E32</f>
        <v>450000</v>
      </c>
      <c r="G32" s="12" t="n">
        <f aca="false">IF(D32=0,0,E32/D32)</f>
        <v>0</v>
      </c>
      <c r="H32" s="30" t="str">
        <f aca="false">IF(D32=0,"-",IF(E32&gt;D32,"Melebihi",IF(E32&gt;=0.8*D32,"Hampir habis","Aman")))</f>
        <v>Aman</v>
      </c>
    </row>
    <row r="33" customFormat="false" ht="15" hidden="false" customHeight="false" outlineLevel="0" collapsed="false">
      <c r="A33" s="11" t="s">
        <v>85</v>
      </c>
      <c r="B33" s="11" t="s">
        <v>24</v>
      </c>
      <c r="C33" s="18" t="n">
        <v>0.35</v>
      </c>
      <c r="D33" s="13" t="n">
        <f aca="false">C33*INDEX(Mulai!$C$22:$C$25,MATCH(B33,Mulai!$A$22:$A$25,0))</f>
        <v>5250000</v>
      </c>
      <c r="E33" s="13" t="n">
        <f aca="false">SUMIFS(Transaksi!$E$7:$E$1006,Transaksi!$B$7:$B$1006,"Pengeluaran",Transaksi!$C$7:$C$1006,A33,Transaksi!$F$7:$F$1006,$B$3,Transaksi!$G$7:$G$1006,Mulai!$B$17)</f>
        <v>0</v>
      </c>
      <c r="F33" s="13" t="n">
        <f aca="false">D33-E33</f>
        <v>5250000</v>
      </c>
      <c r="G33" s="12" t="n">
        <f aca="false">IF(D33=0,0,E33/D33)</f>
        <v>0</v>
      </c>
      <c r="H33" s="30" t="str">
        <f aca="false">IF(D33=0,"-",IF(E33&gt;D33,"Melebihi",IF(E33&gt;=0.8*D33,"Hampir habis","Aman")))</f>
        <v>Aman</v>
      </c>
    </row>
    <row r="34" customFormat="false" ht="15" hidden="false" customHeight="false" outlineLevel="0" collapsed="false">
      <c r="A34" s="11" t="s">
        <v>86</v>
      </c>
      <c r="B34" s="11" t="s">
        <v>24</v>
      </c>
      <c r="C34" s="18" t="n">
        <v>0.2</v>
      </c>
      <c r="D34" s="13" t="n">
        <f aca="false">C34*INDEX(Mulai!$C$22:$C$25,MATCH(B34,Mulai!$A$22:$A$25,0))</f>
        <v>3000000</v>
      </c>
      <c r="E34" s="13" t="n">
        <f aca="false">SUMIFS(Transaksi!$E$7:$E$1006,Transaksi!$B$7:$B$1006,"Pengeluaran",Transaksi!$C$7:$C$1006,A34,Transaksi!$F$7:$F$1006,$B$3,Transaksi!$G$7:$G$1006,Mulai!$B$17)</f>
        <v>0</v>
      </c>
      <c r="F34" s="13" t="n">
        <f aca="false">D34-E34</f>
        <v>3000000</v>
      </c>
      <c r="G34" s="12" t="n">
        <f aca="false">IF(D34=0,0,E34/D34)</f>
        <v>0</v>
      </c>
      <c r="H34" s="30" t="str">
        <f aca="false">IF(D34=0,"-",IF(E34&gt;D34,"Melebihi",IF(E34&gt;=0.8*D34,"Hampir habis","Aman")))</f>
        <v>Aman</v>
      </c>
    </row>
    <row r="35" customFormat="false" ht="15" hidden="false" customHeight="false" outlineLevel="0" collapsed="false">
      <c r="A35" s="11" t="s">
        <v>87</v>
      </c>
      <c r="B35" s="11" t="s">
        <v>24</v>
      </c>
      <c r="C35" s="18" t="n">
        <v>0.25</v>
      </c>
      <c r="D35" s="13" t="n">
        <f aca="false">C35*INDEX(Mulai!$C$22:$C$25,MATCH(B35,Mulai!$A$22:$A$25,0))</f>
        <v>3750000</v>
      </c>
      <c r="E35" s="13" t="n">
        <f aca="false">SUMIFS(Transaksi!$E$7:$E$1006,Transaksi!$B$7:$B$1006,"Pengeluaran",Transaksi!$C$7:$C$1006,A35,Transaksi!$F$7:$F$1006,$B$3,Transaksi!$G$7:$G$1006,Mulai!$B$17)</f>
        <v>0</v>
      </c>
      <c r="F35" s="13" t="n">
        <f aca="false">D35-E35</f>
        <v>3750000</v>
      </c>
      <c r="G35" s="12" t="n">
        <f aca="false">IF(D35=0,0,E35/D35)</f>
        <v>0</v>
      </c>
      <c r="H35" s="30" t="str">
        <f aca="false">IF(D35=0,"-",IF(E35&gt;D35,"Melebihi",IF(E35&gt;=0.8*D35,"Hampir habis","Aman")))</f>
        <v>Aman</v>
      </c>
    </row>
    <row r="36" customFormat="false" ht="15" hidden="false" customHeight="false" outlineLevel="0" collapsed="false">
      <c r="A36" s="11" t="s">
        <v>88</v>
      </c>
      <c r="B36" s="11" t="s">
        <v>24</v>
      </c>
      <c r="C36" s="18" t="n">
        <v>0.2</v>
      </c>
      <c r="D36" s="13" t="n">
        <f aca="false">C36*INDEX(Mulai!$C$22:$C$25,MATCH(B36,Mulai!$A$22:$A$25,0))</f>
        <v>3000000</v>
      </c>
      <c r="E36" s="13" t="n">
        <f aca="false">SUMIFS(Transaksi!$E$7:$E$1006,Transaksi!$B$7:$B$1006,"Pengeluaran",Transaksi!$C$7:$C$1006,A36,Transaksi!$F$7:$F$1006,$B$3,Transaksi!$G$7:$G$1006,Mulai!$B$17)</f>
        <v>0</v>
      </c>
      <c r="F36" s="13" t="n">
        <f aca="false">D36-E36</f>
        <v>3000000</v>
      </c>
      <c r="G36" s="12" t="n">
        <f aca="false">IF(D36=0,0,E36/D36)</f>
        <v>0</v>
      </c>
      <c r="H36" s="30" t="str">
        <f aca="false">IF(D36=0,"-",IF(E36&gt;D36,"Melebihi",IF(E36&gt;=0.8*D36,"Hampir habis","Aman")))</f>
        <v>Aman</v>
      </c>
    </row>
    <row r="37" customFormat="false" ht="15" hidden="false" customHeight="false" outlineLevel="0" collapsed="false">
      <c r="A37" s="11" t="s">
        <v>89</v>
      </c>
      <c r="B37" s="11" t="s">
        <v>25</v>
      </c>
      <c r="C37" s="18" t="n">
        <v>0.5</v>
      </c>
      <c r="D37" s="13" t="n">
        <f aca="false">C37*INDEX(Mulai!$C$22:$C$25,MATCH(B37,Mulai!$A$22:$A$25,0))</f>
        <v>13125000</v>
      </c>
      <c r="E37" s="13" t="n">
        <f aca="false">SUMIFS(Transaksi!$E$7:$E$1006,Transaksi!$B$7:$B$1006,"Pengeluaran",Transaksi!$C$7:$C$1006,A37,Transaksi!$F$7:$F$1006,$B$3,Transaksi!$G$7:$G$1006,Mulai!$B$17)</f>
        <v>0</v>
      </c>
      <c r="F37" s="13" t="n">
        <f aca="false">D37-E37</f>
        <v>13125000</v>
      </c>
      <c r="G37" s="12" t="n">
        <f aca="false">IF(D37=0,0,E37/D37)</f>
        <v>0</v>
      </c>
      <c r="H37" s="30" t="str">
        <f aca="false">IF(D37=0,"-",IF(E37&gt;D37,"Melebihi",IF(E37&gt;=0.8*D37,"Hampir habis","Aman")))</f>
        <v>Aman</v>
      </c>
    </row>
    <row r="38" customFormat="false" ht="15" hidden="false" customHeight="false" outlineLevel="0" collapsed="false">
      <c r="A38" s="11" t="s">
        <v>90</v>
      </c>
      <c r="B38" s="11" t="s">
        <v>25</v>
      </c>
      <c r="C38" s="18" t="n">
        <v>0.3</v>
      </c>
      <c r="D38" s="13" t="n">
        <f aca="false">C38*INDEX(Mulai!$C$22:$C$25,MATCH(B38,Mulai!$A$22:$A$25,0))</f>
        <v>7875000</v>
      </c>
      <c r="E38" s="13" t="n">
        <f aca="false">SUMIFS(Transaksi!$E$7:$E$1006,Transaksi!$B$7:$B$1006,"Pengeluaran",Transaksi!$C$7:$C$1006,A38,Transaksi!$F$7:$F$1006,$B$3,Transaksi!$G$7:$G$1006,Mulai!$B$17)</f>
        <v>0</v>
      </c>
      <c r="F38" s="13" t="n">
        <f aca="false">D38-E38</f>
        <v>7875000</v>
      </c>
      <c r="G38" s="12" t="n">
        <f aca="false">IF(D38=0,0,E38/D38)</f>
        <v>0</v>
      </c>
      <c r="H38" s="30" t="str">
        <f aca="false">IF(D38=0,"-",IF(E38&gt;D38,"Melebihi",IF(E38&gt;=0.8*D38,"Hampir habis","Aman")))</f>
        <v>Aman</v>
      </c>
    </row>
    <row r="39" customFormat="false" ht="15" hidden="false" customHeight="false" outlineLevel="0" collapsed="false">
      <c r="A39" s="11" t="s">
        <v>91</v>
      </c>
      <c r="B39" s="11" t="s">
        <v>25</v>
      </c>
      <c r="C39" s="18" t="n">
        <v>0.2</v>
      </c>
      <c r="D39" s="13" t="n">
        <f aca="false">C39*INDEX(Mulai!$C$22:$C$25,MATCH(B39,Mulai!$A$22:$A$25,0))</f>
        <v>5250000</v>
      </c>
      <c r="E39" s="13" t="n">
        <f aca="false">SUMIFS(Transaksi!$E$7:$E$1006,Transaksi!$B$7:$B$1006,"Pengeluaran",Transaksi!$C$7:$C$1006,A39,Transaksi!$F$7:$F$1006,$B$3,Transaksi!$G$7:$G$1006,Mulai!$B$17)</f>
        <v>0</v>
      </c>
      <c r="F39" s="13" t="n">
        <f aca="false">D39-E39</f>
        <v>5250000</v>
      </c>
      <c r="G39" s="12" t="n">
        <f aca="false">IF(D39=0,0,E39/D39)</f>
        <v>0</v>
      </c>
      <c r="H39" s="30" t="str">
        <f aca="false">IF(D39=0,"-",IF(E39&gt;D39,"Melebihi",IF(E39&gt;=0.8*D39,"Hampir habis","Aman")))</f>
        <v>Aman</v>
      </c>
    </row>
    <row r="42" customFormat="false" ht="15" hidden="false" customHeight="false" outlineLevel="0" collapsed="false">
      <c r="A42" s="3" t="s">
        <v>92</v>
      </c>
    </row>
    <row r="43" customFormat="false" ht="15" hidden="false" customHeight="false" outlineLevel="0" collapsed="false">
      <c r="A43" s="10" t="s">
        <v>50</v>
      </c>
      <c r="B43" s="10" t="s">
        <v>93</v>
      </c>
      <c r="C43" s="10" t="s">
        <v>22</v>
      </c>
      <c r="D43" s="10" t="s">
        <v>23</v>
      </c>
      <c r="E43" s="10" t="s">
        <v>24</v>
      </c>
      <c r="F43" s="10" t="s">
        <v>25</v>
      </c>
      <c r="G43" s="10" t="s">
        <v>94</v>
      </c>
      <c r="H43" s="10" t="s">
        <v>95</v>
      </c>
      <c r="I43" s="10" t="s">
        <v>96</v>
      </c>
    </row>
    <row r="44" customFormat="false" ht="15" hidden="false" customHeight="false" outlineLevel="0" collapsed="false">
      <c r="A44" s="11" t="s">
        <v>97</v>
      </c>
      <c r="B44" s="13" t="n">
        <f aca="false">SUMIFS(Transaksi!$E$7:$E$1006,Transaksi!$B$7:$B$1006,"Pemasukan",Transaksi!$F$7:$F$1006,1,Transaksi!$G$7:$G$1006,Mulai!$B$17)</f>
        <v>0</v>
      </c>
      <c r="C44" s="13" t="n">
        <f aca="false">SUMIFS(Transaksi!$E$7:$E$1006,Transaksi!$B$7:$B$1006,"Pengeluaran",Transaksi!$H$7:$H$1006,C$43,Transaksi!$F$7:$F$1006,1,Transaksi!$G$7:$G$1006,Mulai!$B$17)</f>
        <v>0</v>
      </c>
      <c r="D44" s="13" t="n">
        <f aca="false">SUMIFS(Transaksi!$E$7:$E$1006,Transaksi!$B$7:$B$1006,"Pengeluaran",Transaksi!$H$7:$H$1006,D$43,Transaksi!$F$7:$F$1006,1,Transaksi!$G$7:$G$1006,Mulai!$B$17)</f>
        <v>0</v>
      </c>
      <c r="E44" s="13" t="n">
        <f aca="false">SUMIFS(Transaksi!$E$7:$E$1006,Transaksi!$B$7:$B$1006,"Pengeluaran",Transaksi!$H$7:$H$1006,E$43,Transaksi!$F$7:$F$1006,1,Transaksi!$G$7:$G$1006,Mulai!$B$17)</f>
        <v>0</v>
      </c>
      <c r="F44" s="13" t="n">
        <f aca="false">SUMIFS(Transaksi!$E$7:$E$1006,Transaksi!$B$7:$B$1006,"Pengeluaran",Transaksi!$H$7:$H$1006,F$43,Transaksi!$F$7:$F$1006,1,Transaksi!$G$7:$G$1006,Mulai!$B$17)</f>
        <v>0</v>
      </c>
      <c r="G44" s="16" t="n">
        <f aca="false">SUM(C44:F44)</f>
        <v>0</v>
      </c>
      <c r="H44" s="13" t="n">
        <f aca="false">B44-G44</f>
        <v>0</v>
      </c>
      <c r="I44" s="31" t="n">
        <f aca="false">IF(B44=0,0,F44/B44)</f>
        <v>0</v>
      </c>
    </row>
    <row r="45" customFormat="false" ht="15" hidden="false" customHeight="false" outlineLevel="0" collapsed="false">
      <c r="A45" s="11" t="s">
        <v>98</v>
      </c>
      <c r="B45" s="13" t="n">
        <f aca="false">SUMIFS(Transaksi!$E$7:$E$1006,Transaksi!$B$7:$B$1006,"Pemasukan",Transaksi!$F$7:$F$1006,2,Transaksi!$G$7:$G$1006,Mulai!$B$17)</f>
        <v>0</v>
      </c>
      <c r="C45" s="13" t="n">
        <f aca="false">SUMIFS(Transaksi!$E$7:$E$1006,Transaksi!$B$7:$B$1006,"Pengeluaran",Transaksi!$H$7:$H$1006,C$43,Transaksi!$F$7:$F$1006,2,Transaksi!$G$7:$G$1006,Mulai!$B$17)</f>
        <v>0</v>
      </c>
      <c r="D45" s="13" t="n">
        <f aca="false">SUMIFS(Transaksi!$E$7:$E$1006,Transaksi!$B$7:$B$1006,"Pengeluaran",Transaksi!$H$7:$H$1006,D$43,Transaksi!$F$7:$F$1006,2,Transaksi!$G$7:$G$1006,Mulai!$B$17)</f>
        <v>0</v>
      </c>
      <c r="E45" s="13" t="n">
        <f aca="false">SUMIFS(Transaksi!$E$7:$E$1006,Transaksi!$B$7:$B$1006,"Pengeluaran",Transaksi!$H$7:$H$1006,E$43,Transaksi!$F$7:$F$1006,2,Transaksi!$G$7:$G$1006,Mulai!$B$17)</f>
        <v>0</v>
      </c>
      <c r="F45" s="13" t="n">
        <f aca="false">SUMIFS(Transaksi!$E$7:$E$1006,Transaksi!$B$7:$B$1006,"Pengeluaran",Transaksi!$H$7:$H$1006,F$43,Transaksi!$F$7:$F$1006,2,Transaksi!$G$7:$G$1006,Mulai!$B$17)</f>
        <v>0</v>
      </c>
      <c r="G45" s="16" t="n">
        <f aca="false">SUM(C45:F45)</f>
        <v>0</v>
      </c>
      <c r="H45" s="13" t="n">
        <f aca="false">B45-G45</f>
        <v>0</v>
      </c>
      <c r="I45" s="31" t="n">
        <f aca="false">IF(B45=0,0,F45/B45)</f>
        <v>0</v>
      </c>
    </row>
    <row r="46" customFormat="false" ht="15" hidden="false" customHeight="false" outlineLevel="0" collapsed="false">
      <c r="A46" s="11" t="s">
        <v>99</v>
      </c>
      <c r="B46" s="13" t="n">
        <f aca="false">SUMIFS(Transaksi!$E$7:$E$1006,Transaksi!$B$7:$B$1006,"Pemasukan",Transaksi!$F$7:$F$1006,3,Transaksi!$G$7:$G$1006,Mulai!$B$17)</f>
        <v>0</v>
      </c>
      <c r="C46" s="13" t="n">
        <f aca="false">SUMIFS(Transaksi!$E$7:$E$1006,Transaksi!$B$7:$B$1006,"Pengeluaran",Transaksi!$H$7:$H$1006,C$43,Transaksi!$F$7:$F$1006,3,Transaksi!$G$7:$G$1006,Mulai!$B$17)</f>
        <v>0</v>
      </c>
      <c r="D46" s="13" t="n">
        <f aca="false">SUMIFS(Transaksi!$E$7:$E$1006,Transaksi!$B$7:$B$1006,"Pengeluaran",Transaksi!$H$7:$H$1006,D$43,Transaksi!$F$7:$F$1006,3,Transaksi!$G$7:$G$1006,Mulai!$B$17)</f>
        <v>0</v>
      </c>
      <c r="E46" s="13" t="n">
        <f aca="false">SUMIFS(Transaksi!$E$7:$E$1006,Transaksi!$B$7:$B$1006,"Pengeluaran",Transaksi!$H$7:$H$1006,E$43,Transaksi!$F$7:$F$1006,3,Transaksi!$G$7:$G$1006,Mulai!$B$17)</f>
        <v>0</v>
      </c>
      <c r="F46" s="13" t="n">
        <f aca="false">SUMIFS(Transaksi!$E$7:$E$1006,Transaksi!$B$7:$B$1006,"Pengeluaran",Transaksi!$H$7:$H$1006,F$43,Transaksi!$F$7:$F$1006,3,Transaksi!$G$7:$G$1006,Mulai!$B$17)</f>
        <v>0</v>
      </c>
      <c r="G46" s="16" t="n">
        <f aca="false">SUM(C46:F46)</f>
        <v>0</v>
      </c>
      <c r="H46" s="13" t="n">
        <f aca="false">B46-G46</f>
        <v>0</v>
      </c>
      <c r="I46" s="31" t="n">
        <f aca="false">IF(B46=0,0,F46/B46)</f>
        <v>0</v>
      </c>
    </row>
    <row r="47" customFormat="false" ht="15" hidden="false" customHeight="false" outlineLevel="0" collapsed="false">
      <c r="A47" s="11" t="s">
        <v>100</v>
      </c>
      <c r="B47" s="13" t="n">
        <f aca="false">SUMIFS(Transaksi!$E$7:$E$1006,Transaksi!$B$7:$B$1006,"Pemasukan",Transaksi!$F$7:$F$1006,4,Transaksi!$G$7:$G$1006,Mulai!$B$17)</f>
        <v>0</v>
      </c>
      <c r="C47" s="13" t="n">
        <f aca="false">SUMIFS(Transaksi!$E$7:$E$1006,Transaksi!$B$7:$B$1006,"Pengeluaran",Transaksi!$H$7:$H$1006,C$43,Transaksi!$F$7:$F$1006,4,Transaksi!$G$7:$G$1006,Mulai!$B$17)</f>
        <v>0</v>
      </c>
      <c r="D47" s="13" t="n">
        <f aca="false">SUMIFS(Transaksi!$E$7:$E$1006,Transaksi!$B$7:$B$1006,"Pengeluaran",Transaksi!$H$7:$H$1006,D$43,Transaksi!$F$7:$F$1006,4,Transaksi!$G$7:$G$1006,Mulai!$B$17)</f>
        <v>0</v>
      </c>
      <c r="E47" s="13" t="n">
        <f aca="false">SUMIFS(Transaksi!$E$7:$E$1006,Transaksi!$B$7:$B$1006,"Pengeluaran",Transaksi!$H$7:$H$1006,E$43,Transaksi!$F$7:$F$1006,4,Transaksi!$G$7:$G$1006,Mulai!$B$17)</f>
        <v>0</v>
      </c>
      <c r="F47" s="13" t="n">
        <f aca="false">SUMIFS(Transaksi!$E$7:$E$1006,Transaksi!$B$7:$B$1006,"Pengeluaran",Transaksi!$H$7:$H$1006,F$43,Transaksi!$F$7:$F$1006,4,Transaksi!$G$7:$G$1006,Mulai!$B$17)</f>
        <v>0</v>
      </c>
      <c r="G47" s="16" t="n">
        <f aca="false">SUM(C47:F47)</f>
        <v>0</v>
      </c>
      <c r="H47" s="13" t="n">
        <f aca="false">B47-G47</f>
        <v>0</v>
      </c>
      <c r="I47" s="31" t="n">
        <f aca="false">IF(B47=0,0,F47/B47)</f>
        <v>0</v>
      </c>
    </row>
    <row r="48" customFormat="false" ht="15" hidden="false" customHeight="false" outlineLevel="0" collapsed="false">
      <c r="A48" s="11" t="s">
        <v>101</v>
      </c>
      <c r="B48" s="13" t="n">
        <f aca="false">SUMIFS(Transaksi!$E$7:$E$1006,Transaksi!$B$7:$B$1006,"Pemasukan",Transaksi!$F$7:$F$1006,5,Transaksi!$G$7:$G$1006,Mulai!$B$17)</f>
        <v>0</v>
      </c>
      <c r="C48" s="13" t="n">
        <f aca="false">SUMIFS(Transaksi!$E$7:$E$1006,Transaksi!$B$7:$B$1006,"Pengeluaran",Transaksi!$H$7:$H$1006,C$43,Transaksi!$F$7:$F$1006,5,Transaksi!$G$7:$G$1006,Mulai!$B$17)</f>
        <v>0</v>
      </c>
      <c r="D48" s="13" t="n">
        <f aca="false">SUMIFS(Transaksi!$E$7:$E$1006,Transaksi!$B$7:$B$1006,"Pengeluaran",Transaksi!$H$7:$H$1006,D$43,Transaksi!$F$7:$F$1006,5,Transaksi!$G$7:$G$1006,Mulai!$B$17)</f>
        <v>0</v>
      </c>
      <c r="E48" s="13" t="n">
        <f aca="false">SUMIFS(Transaksi!$E$7:$E$1006,Transaksi!$B$7:$B$1006,"Pengeluaran",Transaksi!$H$7:$H$1006,E$43,Transaksi!$F$7:$F$1006,5,Transaksi!$G$7:$G$1006,Mulai!$B$17)</f>
        <v>0</v>
      </c>
      <c r="F48" s="13" t="n">
        <f aca="false">SUMIFS(Transaksi!$E$7:$E$1006,Transaksi!$B$7:$B$1006,"Pengeluaran",Transaksi!$H$7:$H$1006,F$43,Transaksi!$F$7:$F$1006,5,Transaksi!$G$7:$G$1006,Mulai!$B$17)</f>
        <v>0</v>
      </c>
      <c r="G48" s="16" t="n">
        <f aca="false">SUM(C48:F48)</f>
        <v>0</v>
      </c>
      <c r="H48" s="13" t="n">
        <f aca="false">B48-G48</f>
        <v>0</v>
      </c>
      <c r="I48" s="31" t="n">
        <f aca="false">IF(B48=0,0,F48/B48)</f>
        <v>0</v>
      </c>
    </row>
    <row r="49" customFormat="false" ht="15" hidden="false" customHeight="false" outlineLevel="0" collapsed="false">
      <c r="A49" s="11" t="s">
        <v>102</v>
      </c>
      <c r="B49" s="13" t="n">
        <f aca="false">SUMIFS(Transaksi!$E$7:$E$1006,Transaksi!$B$7:$B$1006,"Pemasukan",Transaksi!$F$7:$F$1006,6,Transaksi!$G$7:$G$1006,Mulai!$B$17)</f>
        <v>0</v>
      </c>
      <c r="C49" s="13" t="n">
        <f aca="false">SUMIFS(Transaksi!$E$7:$E$1006,Transaksi!$B$7:$B$1006,"Pengeluaran",Transaksi!$H$7:$H$1006,C$43,Transaksi!$F$7:$F$1006,6,Transaksi!$G$7:$G$1006,Mulai!$B$17)</f>
        <v>0</v>
      </c>
      <c r="D49" s="13" t="n">
        <f aca="false">SUMIFS(Transaksi!$E$7:$E$1006,Transaksi!$B$7:$B$1006,"Pengeluaran",Transaksi!$H$7:$H$1006,D$43,Transaksi!$F$7:$F$1006,6,Transaksi!$G$7:$G$1006,Mulai!$B$17)</f>
        <v>0</v>
      </c>
      <c r="E49" s="13" t="n">
        <f aca="false">SUMIFS(Transaksi!$E$7:$E$1006,Transaksi!$B$7:$B$1006,"Pengeluaran",Transaksi!$H$7:$H$1006,E$43,Transaksi!$F$7:$F$1006,6,Transaksi!$G$7:$G$1006,Mulai!$B$17)</f>
        <v>0</v>
      </c>
      <c r="F49" s="13" t="n">
        <f aca="false">SUMIFS(Transaksi!$E$7:$E$1006,Transaksi!$B$7:$B$1006,"Pengeluaran",Transaksi!$H$7:$H$1006,F$43,Transaksi!$F$7:$F$1006,6,Transaksi!$G$7:$G$1006,Mulai!$B$17)</f>
        <v>0</v>
      </c>
      <c r="G49" s="16" t="n">
        <f aca="false">SUM(C49:F49)</f>
        <v>0</v>
      </c>
      <c r="H49" s="13" t="n">
        <f aca="false">B49-G49</f>
        <v>0</v>
      </c>
      <c r="I49" s="31" t="n">
        <f aca="false">IF(B49=0,0,F49/B49)</f>
        <v>0</v>
      </c>
    </row>
    <row r="50" customFormat="false" ht="15" hidden="false" customHeight="false" outlineLevel="0" collapsed="false">
      <c r="A50" s="11" t="s">
        <v>103</v>
      </c>
      <c r="B50" s="13" t="n">
        <f aca="false">SUMIFS(Transaksi!$E$7:$E$1006,Transaksi!$B$7:$B$1006,"Pemasukan",Transaksi!$F$7:$F$1006,7,Transaksi!$G$7:$G$1006,Mulai!$B$17)</f>
        <v>0</v>
      </c>
      <c r="C50" s="13" t="n">
        <f aca="false">SUMIFS(Transaksi!$E$7:$E$1006,Transaksi!$B$7:$B$1006,"Pengeluaran",Transaksi!$H$7:$H$1006,C$43,Transaksi!$F$7:$F$1006,7,Transaksi!$G$7:$G$1006,Mulai!$B$17)</f>
        <v>0</v>
      </c>
      <c r="D50" s="13" t="n">
        <f aca="false">SUMIFS(Transaksi!$E$7:$E$1006,Transaksi!$B$7:$B$1006,"Pengeluaran",Transaksi!$H$7:$H$1006,D$43,Transaksi!$F$7:$F$1006,7,Transaksi!$G$7:$G$1006,Mulai!$B$17)</f>
        <v>0</v>
      </c>
      <c r="E50" s="13" t="n">
        <f aca="false">SUMIFS(Transaksi!$E$7:$E$1006,Transaksi!$B$7:$B$1006,"Pengeluaran",Transaksi!$H$7:$H$1006,E$43,Transaksi!$F$7:$F$1006,7,Transaksi!$G$7:$G$1006,Mulai!$B$17)</f>
        <v>0</v>
      </c>
      <c r="F50" s="13" t="n">
        <f aca="false">SUMIFS(Transaksi!$E$7:$E$1006,Transaksi!$B$7:$B$1006,"Pengeluaran",Transaksi!$H$7:$H$1006,F$43,Transaksi!$F$7:$F$1006,7,Transaksi!$G$7:$G$1006,Mulai!$B$17)</f>
        <v>0</v>
      </c>
      <c r="G50" s="16" t="n">
        <f aca="false">SUM(C50:F50)</f>
        <v>0</v>
      </c>
      <c r="H50" s="13" t="n">
        <f aca="false">B50-G50</f>
        <v>0</v>
      </c>
      <c r="I50" s="31" t="n">
        <f aca="false">IF(B50=0,0,F50/B50)</f>
        <v>0</v>
      </c>
    </row>
    <row r="51" customFormat="false" ht="15" hidden="false" customHeight="false" outlineLevel="0" collapsed="false">
      <c r="A51" s="11" t="s">
        <v>104</v>
      </c>
      <c r="B51" s="13" t="n">
        <f aca="false">SUMIFS(Transaksi!$E$7:$E$1006,Transaksi!$B$7:$B$1006,"Pemasukan",Transaksi!$F$7:$F$1006,8,Transaksi!$G$7:$G$1006,Mulai!$B$17)</f>
        <v>0</v>
      </c>
      <c r="C51" s="13" t="n">
        <f aca="false">SUMIFS(Transaksi!$E$7:$E$1006,Transaksi!$B$7:$B$1006,"Pengeluaran",Transaksi!$H$7:$H$1006,C$43,Transaksi!$F$7:$F$1006,8,Transaksi!$G$7:$G$1006,Mulai!$B$17)</f>
        <v>0</v>
      </c>
      <c r="D51" s="13" t="n">
        <f aca="false">SUMIFS(Transaksi!$E$7:$E$1006,Transaksi!$B$7:$B$1006,"Pengeluaran",Transaksi!$H$7:$H$1006,D$43,Transaksi!$F$7:$F$1006,8,Transaksi!$G$7:$G$1006,Mulai!$B$17)</f>
        <v>0</v>
      </c>
      <c r="E51" s="13" t="n">
        <f aca="false">SUMIFS(Transaksi!$E$7:$E$1006,Transaksi!$B$7:$B$1006,"Pengeluaran",Transaksi!$H$7:$H$1006,E$43,Transaksi!$F$7:$F$1006,8,Transaksi!$G$7:$G$1006,Mulai!$B$17)</f>
        <v>0</v>
      </c>
      <c r="F51" s="13" t="n">
        <f aca="false">SUMIFS(Transaksi!$E$7:$E$1006,Transaksi!$B$7:$B$1006,"Pengeluaran",Transaksi!$H$7:$H$1006,F$43,Transaksi!$F$7:$F$1006,8,Transaksi!$G$7:$G$1006,Mulai!$B$17)</f>
        <v>0</v>
      </c>
      <c r="G51" s="16" t="n">
        <f aca="false">SUM(C51:F51)</f>
        <v>0</v>
      </c>
      <c r="H51" s="13" t="n">
        <f aca="false">B51-G51</f>
        <v>0</v>
      </c>
      <c r="I51" s="31" t="n">
        <f aca="false">IF(B51=0,0,F51/B51)</f>
        <v>0</v>
      </c>
    </row>
    <row r="52" customFormat="false" ht="15" hidden="false" customHeight="false" outlineLevel="0" collapsed="false">
      <c r="A52" s="11" t="s">
        <v>105</v>
      </c>
      <c r="B52" s="13" t="n">
        <f aca="false">SUMIFS(Transaksi!$E$7:$E$1006,Transaksi!$B$7:$B$1006,"Pemasukan",Transaksi!$F$7:$F$1006,9,Transaksi!$G$7:$G$1006,Mulai!$B$17)</f>
        <v>0</v>
      </c>
      <c r="C52" s="13" t="n">
        <f aca="false">SUMIFS(Transaksi!$E$7:$E$1006,Transaksi!$B$7:$B$1006,"Pengeluaran",Transaksi!$H$7:$H$1006,C$43,Transaksi!$F$7:$F$1006,9,Transaksi!$G$7:$G$1006,Mulai!$B$17)</f>
        <v>0</v>
      </c>
      <c r="D52" s="13" t="n">
        <f aca="false">SUMIFS(Transaksi!$E$7:$E$1006,Transaksi!$B$7:$B$1006,"Pengeluaran",Transaksi!$H$7:$H$1006,D$43,Transaksi!$F$7:$F$1006,9,Transaksi!$G$7:$G$1006,Mulai!$B$17)</f>
        <v>0</v>
      </c>
      <c r="E52" s="13" t="n">
        <f aca="false">SUMIFS(Transaksi!$E$7:$E$1006,Transaksi!$B$7:$B$1006,"Pengeluaran",Transaksi!$H$7:$H$1006,E$43,Transaksi!$F$7:$F$1006,9,Transaksi!$G$7:$G$1006,Mulai!$B$17)</f>
        <v>0</v>
      </c>
      <c r="F52" s="13" t="n">
        <f aca="false">SUMIFS(Transaksi!$E$7:$E$1006,Transaksi!$B$7:$B$1006,"Pengeluaran",Transaksi!$H$7:$H$1006,F$43,Transaksi!$F$7:$F$1006,9,Transaksi!$G$7:$G$1006,Mulai!$B$17)</f>
        <v>0</v>
      </c>
      <c r="G52" s="16" t="n">
        <f aca="false">SUM(C52:F52)</f>
        <v>0</v>
      </c>
      <c r="H52" s="13" t="n">
        <f aca="false">B52-G52</f>
        <v>0</v>
      </c>
      <c r="I52" s="31" t="n">
        <f aca="false">IF(B52=0,0,F52/B52)</f>
        <v>0</v>
      </c>
    </row>
    <row r="53" customFormat="false" ht="15" hidden="false" customHeight="false" outlineLevel="0" collapsed="false">
      <c r="A53" s="11" t="s">
        <v>106</v>
      </c>
      <c r="B53" s="13" t="n">
        <f aca="false">SUMIFS(Transaksi!$E$7:$E$1006,Transaksi!$B$7:$B$1006,"Pemasukan",Transaksi!$F$7:$F$1006,10,Transaksi!$G$7:$G$1006,Mulai!$B$17)</f>
        <v>0</v>
      </c>
      <c r="C53" s="13" t="n">
        <f aca="false">SUMIFS(Transaksi!$E$7:$E$1006,Transaksi!$B$7:$B$1006,"Pengeluaran",Transaksi!$H$7:$H$1006,C$43,Transaksi!$F$7:$F$1006,10,Transaksi!$G$7:$G$1006,Mulai!$B$17)</f>
        <v>0</v>
      </c>
      <c r="D53" s="13" t="n">
        <f aca="false">SUMIFS(Transaksi!$E$7:$E$1006,Transaksi!$B$7:$B$1006,"Pengeluaran",Transaksi!$H$7:$H$1006,D$43,Transaksi!$F$7:$F$1006,10,Transaksi!$G$7:$G$1006,Mulai!$B$17)</f>
        <v>0</v>
      </c>
      <c r="E53" s="13" t="n">
        <f aca="false">SUMIFS(Transaksi!$E$7:$E$1006,Transaksi!$B$7:$B$1006,"Pengeluaran",Transaksi!$H$7:$H$1006,E$43,Transaksi!$F$7:$F$1006,10,Transaksi!$G$7:$G$1006,Mulai!$B$17)</f>
        <v>0</v>
      </c>
      <c r="F53" s="13" t="n">
        <f aca="false">SUMIFS(Transaksi!$E$7:$E$1006,Transaksi!$B$7:$B$1006,"Pengeluaran",Transaksi!$H$7:$H$1006,F$43,Transaksi!$F$7:$F$1006,10,Transaksi!$G$7:$G$1006,Mulai!$B$17)</f>
        <v>0</v>
      </c>
      <c r="G53" s="16" t="n">
        <f aca="false">SUM(C53:F53)</f>
        <v>0</v>
      </c>
      <c r="H53" s="13" t="n">
        <f aca="false">B53-G53</f>
        <v>0</v>
      </c>
      <c r="I53" s="31" t="n">
        <f aca="false">IF(B53=0,0,F53/B53)</f>
        <v>0</v>
      </c>
    </row>
    <row r="54" customFormat="false" ht="15" hidden="false" customHeight="false" outlineLevel="0" collapsed="false">
      <c r="A54" s="11" t="s">
        <v>107</v>
      </c>
      <c r="B54" s="13" t="n">
        <f aca="false">SUMIFS(Transaksi!$E$7:$E$1006,Transaksi!$B$7:$B$1006,"Pemasukan",Transaksi!$F$7:$F$1006,11,Transaksi!$G$7:$G$1006,Mulai!$B$17)</f>
        <v>0</v>
      </c>
      <c r="C54" s="13" t="n">
        <f aca="false">SUMIFS(Transaksi!$E$7:$E$1006,Transaksi!$B$7:$B$1006,"Pengeluaran",Transaksi!$H$7:$H$1006,C$43,Transaksi!$F$7:$F$1006,11,Transaksi!$G$7:$G$1006,Mulai!$B$17)</f>
        <v>0</v>
      </c>
      <c r="D54" s="13" t="n">
        <f aca="false">SUMIFS(Transaksi!$E$7:$E$1006,Transaksi!$B$7:$B$1006,"Pengeluaran",Transaksi!$H$7:$H$1006,D$43,Transaksi!$F$7:$F$1006,11,Transaksi!$G$7:$G$1006,Mulai!$B$17)</f>
        <v>0</v>
      </c>
      <c r="E54" s="13" t="n">
        <f aca="false">SUMIFS(Transaksi!$E$7:$E$1006,Transaksi!$B$7:$B$1006,"Pengeluaran",Transaksi!$H$7:$H$1006,E$43,Transaksi!$F$7:$F$1006,11,Transaksi!$G$7:$G$1006,Mulai!$B$17)</f>
        <v>0</v>
      </c>
      <c r="F54" s="13" t="n">
        <f aca="false">SUMIFS(Transaksi!$E$7:$E$1006,Transaksi!$B$7:$B$1006,"Pengeluaran",Transaksi!$H$7:$H$1006,F$43,Transaksi!$F$7:$F$1006,11,Transaksi!$G$7:$G$1006,Mulai!$B$17)</f>
        <v>0</v>
      </c>
      <c r="G54" s="16" t="n">
        <f aca="false">SUM(C54:F54)</f>
        <v>0</v>
      </c>
      <c r="H54" s="13" t="n">
        <f aca="false">B54-G54</f>
        <v>0</v>
      </c>
      <c r="I54" s="31" t="n">
        <f aca="false">IF(B54=0,0,F54/B54)</f>
        <v>0</v>
      </c>
    </row>
    <row r="55" customFormat="false" ht="15" hidden="false" customHeight="false" outlineLevel="0" collapsed="false">
      <c r="A55" s="11" t="s">
        <v>108</v>
      </c>
      <c r="B55" s="13" t="n">
        <f aca="false">SUMIFS(Transaksi!$E$7:$E$1006,Transaksi!$B$7:$B$1006,"Pemasukan",Transaksi!$F$7:$F$1006,12,Transaksi!$G$7:$G$1006,Mulai!$B$17)</f>
        <v>0</v>
      </c>
      <c r="C55" s="13" t="n">
        <f aca="false">SUMIFS(Transaksi!$E$7:$E$1006,Transaksi!$B$7:$B$1006,"Pengeluaran",Transaksi!$H$7:$H$1006,C$43,Transaksi!$F$7:$F$1006,12,Transaksi!$G$7:$G$1006,Mulai!$B$17)</f>
        <v>0</v>
      </c>
      <c r="D55" s="13" t="n">
        <f aca="false">SUMIFS(Transaksi!$E$7:$E$1006,Transaksi!$B$7:$B$1006,"Pengeluaran",Transaksi!$H$7:$H$1006,D$43,Transaksi!$F$7:$F$1006,12,Transaksi!$G$7:$G$1006,Mulai!$B$17)</f>
        <v>0</v>
      </c>
      <c r="E55" s="13" t="n">
        <f aca="false">SUMIFS(Transaksi!$E$7:$E$1006,Transaksi!$B$7:$B$1006,"Pengeluaran",Transaksi!$H$7:$H$1006,E$43,Transaksi!$F$7:$F$1006,12,Transaksi!$G$7:$G$1006,Mulai!$B$17)</f>
        <v>0</v>
      </c>
      <c r="F55" s="13" t="n">
        <f aca="false">SUMIFS(Transaksi!$E$7:$E$1006,Transaksi!$B$7:$B$1006,"Pengeluaran",Transaksi!$H$7:$H$1006,F$43,Transaksi!$F$7:$F$1006,12,Transaksi!$G$7:$G$1006,Mulai!$B$17)</f>
        <v>0</v>
      </c>
      <c r="G55" s="16" t="n">
        <f aca="false">SUM(C55:F55)</f>
        <v>0</v>
      </c>
      <c r="H55" s="13" t="n">
        <f aca="false">B55-G55</f>
        <v>0</v>
      </c>
      <c r="I55" s="31" t="n">
        <f aca="false">IF(B55=0,0,F55/B55)</f>
        <v>0</v>
      </c>
    </row>
    <row r="56" customFormat="false" ht="15" hidden="false" customHeight="false" outlineLevel="0" collapsed="false">
      <c r="A56" s="29" t="s">
        <v>109</v>
      </c>
      <c r="B56" s="32" t="n">
        <f aca="false">SUM(B44:B55)</f>
        <v>0</v>
      </c>
      <c r="C56" s="32" t="n">
        <f aca="false">SUM(C44:C55)</f>
        <v>0</v>
      </c>
      <c r="D56" s="32" t="n">
        <f aca="false">SUM(D44:D55)</f>
        <v>0</v>
      </c>
      <c r="E56" s="32" t="n">
        <f aca="false">SUM(E44:E55)</f>
        <v>0</v>
      </c>
      <c r="F56" s="32" t="n">
        <f aca="false">SUM(F44:F55)</f>
        <v>0</v>
      </c>
      <c r="G56" s="32" t="n">
        <f aca="false">SUM(G44:G55)</f>
        <v>0</v>
      </c>
      <c r="H56" s="32" t="n">
        <f aca="false">SUM(H44:H55)</f>
        <v>0</v>
      </c>
      <c r="I56" s="33" t="n">
        <f aca="false">IF(B56=0,0,F56/B56)</f>
        <v>0</v>
      </c>
    </row>
    <row r="57" customFormat="false" ht="15" hidden="false" customHeight="false" outlineLevel="0" collapsed="false">
      <c r="A57" s="2" t="s">
        <v>110</v>
      </c>
    </row>
    <row r="77" customFormat="false" ht="15" hidden="false" customHeight="false" outlineLevel="0" collapsed="false">
      <c r="A77" s="3" t="s">
        <v>111</v>
      </c>
    </row>
    <row r="78" customFormat="false" ht="15" hidden="false" customHeight="false" outlineLevel="0" collapsed="false">
      <c r="A78" s="4" t="s">
        <v>112</v>
      </c>
      <c r="B78" s="9" t="n">
        <v>6</v>
      </c>
    </row>
    <row r="79" customFormat="false" ht="15" hidden="false" customHeight="false" outlineLevel="0" collapsed="false">
      <c r="A79" s="4" t="s">
        <v>113</v>
      </c>
      <c r="B79" s="34" t="n">
        <f aca="false">Mulai!C23+Mulai!C22</f>
        <v>33750000</v>
      </c>
    </row>
    <row r="80" customFormat="false" ht="15" hidden="false" customHeight="false" outlineLevel="0" collapsed="false">
      <c r="A80" s="7" t="s">
        <v>114</v>
      </c>
      <c r="B80" s="8" t="n">
        <f aca="false">B78*B79</f>
        <v>202500000</v>
      </c>
    </row>
    <row r="81" customFormat="false" ht="15" hidden="false" customHeight="false" outlineLevel="0" collapsed="false">
      <c r="A81" s="4" t="s">
        <v>115</v>
      </c>
      <c r="B81" s="5" t="n">
        <v>30000000</v>
      </c>
      <c r="C81" s="2" t="s">
        <v>116</v>
      </c>
    </row>
    <row r="82" customFormat="false" ht="15" hidden="false" customHeight="false" outlineLevel="0" collapsed="false">
      <c r="A82" s="4" t="s">
        <v>117</v>
      </c>
      <c r="B82" s="34" t="n">
        <f aca="false">MAX(0,B80-B81)</f>
        <v>172500000</v>
      </c>
    </row>
    <row r="83" customFormat="false" ht="15" hidden="false" customHeight="false" outlineLevel="0" collapsed="false">
      <c r="A83" s="4" t="s">
        <v>118</v>
      </c>
      <c r="B83" s="35" t="n">
        <f aca="false">IF(B80=0,0,MIN(1,B81/B80))</f>
        <v>0.148148148148148</v>
      </c>
    </row>
    <row r="84" customFormat="false" ht="15" hidden="false" customHeight="false" outlineLevel="0" collapsed="false">
      <c r="A84" s="4" t="s">
        <v>119</v>
      </c>
      <c r="B84" s="34" t="n">
        <f aca="false">IFERROR(INDEX($D$18:$D$39,MATCH("Dana darurat",$A$18:$A$39,0)),0)</f>
        <v>13125000</v>
      </c>
    </row>
    <row r="85" customFormat="false" ht="15" hidden="false" customHeight="false" outlineLevel="0" collapsed="false">
      <c r="A85" s="7" t="s">
        <v>120</v>
      </c>
      <c r="B85" s="28" t="n">
        <f aca="false">IF(B82=0,0,IF(B84&lt;=0,"-",ROUNDUP(B82/B84,0)))</f>
        <v>14</v>
      </c>
    </row>
    <row r="87" customFormat="false" ht="15" hidden="false" customHeight="false" outlineLevel="0" collapsed="false">
      <c r="A87" s="2" t="s">
        <v>121</v>
      </c>
    </row>
    <row r="88" customFormat="false" ht="15" hidden="false" customHeight="false" outlineLevel="0" collapsed="false">
      <c r="A88" s="2" t="s">
        <v>122</v>
      </c>
    </row>
  </sheetData>
  <conditionalFormatting sqref="H18:H39">
    <cfRule type="cellIs" priority="2" operator="equal" aboveAverage="0" equalAverage="0" bottom="0" percent="0" rank="0" text="" dxfId="0">
      <formula>"Melebihi"</formula>
    </cfRule>
    <cfRule type="cellIs" priority="3" operator="equal" aboveAverage="0" equalAverage="0" bottom="0" percent="0" rank="0" text="" dxfId="1">
      <formula>"Hampir habis"</formula>
    </cfRule>
    <cfRule type="cellIs" priority="4" operator="equal" aboveAverage="0" equalAverage="0" bottom="0" percent="0" rank="0" text="" dxfId="2">
      <formula>"Aman"</formula>
    </cfRule>
  </conditionalFormatting>
  <dataValidations count="1">
    <dataValidation allowBlank="false" error="Isi angka bulan 1 sampai 12" errorStyle="stop" operator="between" showDropDown="false" showErrorMessage="true" showInputMessage="false" sqref="B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8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3" t="s">
        <v>125</v>
      </c>
    </row>
    <row r="5" customFormat="false" ht="15" hidden="false" customHeight="false" outlineLevel="0" collapsed="false">
      <c r="A5" s="10" t="s">
        <v>126</v>
      </c>
      <c r="B5" s="10" t="s">
        <v>46</v>
      </c>
      <c r="C5" s="10" t="s">
        <v>127</v>
      </c>
      <c r="D5" s="10" t="s">
        <v>128</v>
      </c>
      <c r="E5" s="10" t="s">
        <v>129</v>
      </c>
      <c r="F5" s="10" t="s">
        <v>130</v>
      </c>
      <c r="G5" s="10" t="s">
        <v>131</v>
      </c>
      <c r="H5" s="10" t="s">
        <v>132</v>
      </c>
      <c r="I5" s="10" t="s">
        <v>133</v>
      </c>
    </row>
    <row r="6" customFormat="false" ht="15" hidden="false" customHeight="false" outlineLevel="0" collapsed="false">
      <c r="A6" s="25" t="s">
        <v>134</v>
      </c>
      <c r="B6" s="25" t="s">
        <v>135</v>
      </c>
      <c r="C6" s="6" t="n">
        <v>1200000000</v>
      </c>
      <c r="D6" s="36" t="n">
        <v>7</v>
      </c>
      <c r="E6" s="6" t="n">
        <v>12000000</v>
      </c>
      <c r="F6" s="37" t="n">
        <v>120</v>
      </c>
      <c r="G6" s="37" t="n">
        <v>1</v>
      </c>
      <c r="H6" s="26" t="n">
        <f aca="false">IF(A6="","",RANK(D6,$D$6:$D$15,0)+COUNTIF($D$6:D6,D6)-1)</f>
        <v>3</v>
      </c>
      <c r="I6" s="26" t="n">
        <f aca="false">IF(A6="","",RANK(C6,$C$6:$C$15,1)+COUNTIF($C$6:C6,C6)-1)</f>
        <v>3</v>
      </c>
    </row>
    <row r="7" customFormat="false" ht="15" hidden="false" customHeight="false" outlineLevel="0" collapsed="false">
      <c r="A7" s="25" t="s">
        <v>136</v>
      </c>
      <c r="B7" s="25" t="s">
        <v>137</v>
      </c>
      <c r="C7" s="6" t="n">
        <v>150000000</v>
      </c>
      <c r="D7" s="36" t="n">
        <v>8</v>
      </c>
      <c r="E7" s="6" t="n">
        <v>5000000</v>
      </c>
      <c r="F7" s="37" t="n">
        <v>30</v>
      </c>
      <c r="G7" s="37" t="n">
        <v>5</v>
      </c>
      <c r="H7" s="26" t="n">
        <f aca="false">IF(A7="","",RANK(D7,$D$6:$D$15,0)+COUNTIF($D$6:D7,D7)-1)</f>
        <v>2</v>
      </c>
      <c r="I7" s="26" t="n">
        <f aca="false">IF(A7="","",RANK(C7,$C$6:$C$15,1)+COUNTIF($C$6:C7,C7)-1)</f>
        <v>2</v>
      </c>
    </row>
    <row r="8" customFormat="false" ht="15" hidden="false" customHeight="false" outlineLevel="0" collapsed="false">
      <c r="A8" s="25" t="s">
        <v>138</v>
      </c>
      <c r="B8" s="25" t="s">
        <v>138</v>
      </c>
      <c r="C8" s="6" t="n">
        <v>7500000</v>
      </c>
      <c r="D8" s="36" t="n">
        <v>24</v>
      </c>
      <c r="E8" s="6" t="n">
        <v>1500000</v>
      </c>
      <c r="F8" s="37" t="n">
        <v>5</v>
      </c>
      <c r="G8" s="37" t="n">
        <v>15</v>
      </c>
      <c r="H8" s="26" t="n">
        <f aca="false">IF(A8="","",RANK(D8,$D$6:$D$15,0)+COUNTIF($D$6:D8,D8)-1)</f>
        <v>1</v>
      </c>
      <c r="I8" s="26" t="n">
        <f aca="false">IF(A8="","",RANK(C8,$C$6:$C$15,1)+COUNTIF($C$6:C8,C8)-1)</f>
        <v>1</v>
      </c>
    </row>
    <row r="9" customFormat="false" ht="15" hidden="false" customHeight="false" outlineLevel="0" collapsed="false">
      <c r="A9" s="25"/>
      <c r="B9" s="25"/>
      <c r="C9" s="6"/>
      <c r="D9" s="36"/>
      <c r="E9" s="6"/>
      <c r="F9" s="37"/>
      <c r="G9" s="37"/>
      <c r="H9" s="26" t="str">
        <f aca="false">IF(A9="","",RANK(D9,$D$6:$D$15,0)+COUNTIF($D$6:D9,D9)-1)</f>
        <v/>
      </c>
      <c r="I9" s="26" t="str">
        <f aca="false">IF(A9="","",RANK(C9,$C$6:$C$15,1)+COUNTIF($C$6:C9,C9)-1)</f>
        <v/>
      </c>
    </row>
    <row r="10" customFormat="false" ht="15" hidden="false" customHeight="false" outlineLevel="0" collapsed="false">
      <c r="A10" s="25"/>
      <c r="B10" s="25"/>
      <c r="C10" s="6"/>
      <c r="D10" s="36"/>
      <c r="E10" s="6"/>
      <c r="F10" s="37"/>
      <c r="G10" s="37"/>
      <c r="H10" s="26" t="str">
        <f aca="false">IF(A10="","",RANK(D10,$D$6:$D$15,0)+COUNTIF($D$6:D10,D10)-1)</f>
        <v/>
      </c>
      <c r="I10" s="26" t="str">
        <f aca="false">IF(A10="","",RANK(C10,$C$6:$C$15,1)+COUNTIF($C$6:C10,C10)-1)</f>
        <v/>
      </c>
    </row>
    <row r="11" customFormat="false" ht="15" hidden="false" customHeight="false" outlineLevel="0" collapsed="false">
      <c r="A11" s="25"/>
      <c r="B11" s="25"/>
      <c r="C11" s="6"/>
      <c r="D11" s="36"/>
      <c r="E11" s="6"/>
      <c r="F11" s="37"/>
      <c r="G11" s="37"/>
      <c r="H11" s="26" t="str">
        <f aca="false">IF(A11="","",RANK(D11,$D$6:$D$15,0)+COUNTIF($D$6:D11,D11)-1)</f>
        <v/>
      </c>
      <c r="I11" s="26" t="str">
        <f aca="false">IF(A11="","",RANK(C11,$C$6:$C$15,1)+COUNTIF($C$6:C11,C11)-1)</f>
        <v/>
      </c>
    </row>
    <row r="12" customFormat="false" ht="15" hidden="false" customHeight="false" outlineLevel="0" collapsed="false">
      <c r="A12" s="25"/>
      <c r="B12" s="25"/>
      <c r="C12" s="6"/>
      <c r="D12" s="36"/>
      <c r="E12" s="6"/>
      <c r="F12" s="37"/>
      <c r="G12" s="37"/>
      <c r="H12" s="26" t="str">
        <f aca="false">IF(A12="","",RANK(D12,$D$6:$D$15,0)+COUNTIF($D$6:D12,D12)-1)</f>
        <v/>
      </c>
      <c r="I12" s="26" t="str">
        <f aca="false">IF(A12="","",RANK(C12,$C$6:$C$15,1)+COUNTIF($C$6:C12,C12)-1)</f>
        <v/>
      </c>
    </row>
    <row r="13" customFormat="false" ht="15" hidden="false" customHeight="false" outlineLevel="0" collapsed="false">
      <c r="A13" s="25"/>
      <c r="B13" s="25"/>
      <c r="C13" s="6"/>
      <c r="D13" s="36"/>
      <c r="E13" s="6"/>
      <c r="F13" s="37"/>
      <c r="G13" s="37"/>
      <c r="H13" s="26" t="str">
        <f aca="false">IF(A13="","",RANK(D13,$D$6:$D$15,0)+COUNTIF($D$6:D13,D13)-1)</f>
        <v/>
      </c>
      <c r="I13" s="26" t="str">
        <f aca="false">IF(A13="","",RANK(C13,$C$6:$C$15,1)+COUNTIF($C$6:C13,C13)-1)</f>
        <v/>
      </c>
    </row>
    <row r="14" customFormat="false" ht="15" hidden="false" customHeight="false" outlineLevel="0" collapsed="false">
      <c r="A14" s="25"/>
      <c r="B14" s="25"/>
      <c r="C14" s="6"/>
      <c r="D14" s="36"/>
      <c r="E14" s="6"/>
      <c r="F14" s="37"/>
      <c r="G14" s="37"/>
      <c r="H14" s="26" t="str">
        <f aca="false">IF(A14="","",RANK(D14,$D$6:$D$15,0)+COUNTIF($D$6:D14,D14)-1)</f>
        <v/>
      </c>
      <c r="I14" s="26" t="str">
        <f aca="false">IF(A14="","",RANK(C14,$C$6:$C$15,1)+COUNTIF($C$6:C14,C14)-1)</f>
        <v/>
      </c>
    </row>
    <row r="15" customFormat="false" ht="15" hidden="false" customHeight="false" outlineLevel="0" collapsed="false">
      <c r="A15" s="25"/>
      <c r="B15" s="25"/>
      <c r="C15" s="6"/>
      <c r="D15" s="36"/>
      <c r="E15" s="6"/>
      <c r="F15" s="37"/>
      <c r="G15" s="37"/>
      <c r="H15" s="26" t="str">
        <f aca="false">IF(A15="","",RANK(D15,$D$6:$D$15,0)+COUNTIF($D$6:D15,D15)-1)</f>
        <v/>
      </c>
      <c r="I15" s="26" t="str">
        <f aca="false">IF(A15="","",RANK(C15,$C$6:$C$15,1)+COUNTIF($C$6:C15,C15)-1)</f>
        <v/>
      </c>
    </row>
    <row r="16" customFormat="false" ht="15" hidden="false" customHeight="false" outlineLevel="0" collapsed="false">
      <c r="A16" s="29" t="s">
        <v>26</v>
      </c>
      <c r="C16" s="32" t="n">
        <f aca="false">SUM(C6:C15)</f>
        <v>1357500000</v>
      </c>
      <c r="E16" s="32" t="n">
        <f aca="false">SUM(E6:E15)</f>
        <v>18500000</v>
      </c>
      <c r="F16" s="38" t="n">
        <f aca="false">MAX(F6:F15)</f>
        <v>120</v>
      </c>
    </row>
    <row r="19" customFormat="false" ht="15" hidden="false" customHeight="false" outlineLevel="0" collapsed="false">
      <c r="A19" s="3" t="s">
        <v>139</v>
      </c>
    </row>
    <row r="20" customFormat="false" ht="15" hidden="false" customHeight="false" outlineLevel="0" collapsed="false">
      <c r="A20" s="4" t="s">
        <v>140</v>
      </c>
      <c r="B20" s="34" t="n">
        <f aca="false">E16</f>
        <v>18500000</v>
      </c>
    </row>
    <row r="21" customFormat="false" ht="15" hidden="false" customHeight="false" outlineLevel="0" collapsed="false">
      <c r="A21" s="4" t="s">
        <v>13</v>
      </c>
      <c r="B21" s="34" t="n">
        <f aca="false">Mulai!$B$15</f>
        <v>75000000</v>
      </c>
    </row>
    <row r="22" customFormat="false" ht="15" hidden="false" customHeight="false" outlineLevel="0" collapsed="false">
      <c r="A22" s="4" t="s">
        <v>141</v>
      </c>
      <c r="B22" s="35" t="n">
        <f aca="false">IF(B21=0,0,B20/B21)</f>
        <v>0.246666666666667</v>
      </c>
    </row>
    <row r="23" customFormat="false" ht="15" hidden="false" customHeight="false" outlineLevel="0" collapsed="false">
      <c r="A23" s="4" t="s">
        <v>142</v>
      </c>
      <c r="B23" s="39" t="n">
        <v>0.3</v>
      </c>
    </row>
    <row r="24" customFormat="false" ht="15" hidden="false" customHeight="false" outlineLevel="0" collapsed="false">
      <c r="A24" s="7" t="s">
        <v>70</v>
      </c>
      <c r="B24" s="7" t="str">
        <f aca="false">IF(B22&lt;=B23,"Aman",IF(B22&lt;=B23+0.1,"Waspada","Berat"))</f>
        <v>Aman</v>
      </c>
    </row>
    <row r="25" customFormat="false" ht="15" hidden="false" customHeight="false" outlineLevel="0" collapsed="false">
      <c r="A25" s="4" t="s">
        <v>143</v>
      </c>
      <c r="B25" s="34" t="n">
        <f aca="false">C16</f>
        <v>1357500000</v>
      </c>
    </row>
    <row r="26" customFormat="false" ht="15" hidden="false" customHeight="false" outlineLevel="0" collapsed="false">
      <c r="A26" s="4" t="s">
        <v>144</v>
      </c>
      <c r="B26" s="40" t="n">
        <f aca="false">F16</f>
        <v>120</v>
      </c>
    </row>
    <row r="27" customFormat="false" ht="15" hidden="false" customHeight="false" outlineLevel="0" collapsed="false">
      <c r="A27" s="4" t="s">
        <v>145</v>
      </c>
      <c r="B27" s="34" t="n">
        <f aca="false">MAX(0,B23*B21-B20)</f>
        <v>4000000</v>
      </c>
    </row>
    <row r="29" customFormat="false" ht="15" hidden="false" customHeight="false" outlineLevel="0" collapsed="false">
      <c r="A29" s="3" t="s">
        <v>146</v>
      </c>
    </row>
    <row r="30" customFormat="false" ht="15" hidden="false" customHeight="false" outlineLevel="0" collapsed="false">
      <c r="A30" s="10" t="s">
        <v>147</v>
      </c>
      <c r="B30" s="10" t="s">
        <v>148</v>
      </c>
      <c r="C30" s="10" t="s">
        <v>149</v>
      </c>
    </row>
    <row r="31" customFormat="false" ht="15" hidden="false" customHeight="false" outlineLevel="0" collapsed="false">
      <c r="A31" s="30" t="n">
        <v>1</v>
      </c>
      <c r="B31" s="11" t="str">
        <f aca="false">IFERROR(INDEX($A$6:$A$15,MATCH(1,$H$6:$H$15,0)),"")</f>
        <v>Kartu kredit</v>
      </c>
      <c r="C31" s="11" t="str">
        <f aca="false">IFERROR(INDEX($A$6:$A$15,MATCH(1,$I$6:$I$15,0)),"")</f>
        <v>Kartu kredit</v>
      </c>
    </row>
    <row r="32" customFormat="false" ht="15" hidden="false" customHeight="false" outlineLevel="0" collapsed="false">
      <c r="A32" s="30" t="n">
        <v>2</v>
      </c>
      <c r="B32" s="11" t="str">
        <f aca="false">IFERROR(INDEX($A$6:$A$15,MATCH(2,$H$6:$H$15,0)),"")</f>
        <v>Mobil</v>
      </c>
      <c r="C32" s="11" t="str">
        <f aca="false">IFERROR(INDEX($A$6:$A$15,MATCH(2,$I$6:$I$15,0)),"")</f>
        <v>Mobil</v>
      </c>
    </row>
    <row r="33" customFormat="false" ht="15" hidden="false" customHeight="false" outlineLevel="0" collapsed="false">
      <c r="A33" s="30" t="n">
        <v>3</v>
      </c>
      <c r="B33" s="11" t="str">
        <f aca="false">IFERROR(INDEX($A$6:$A$15,MATCH(3,$H$6:$H$15,0)),"")</f>
        <v>KPR rumah</v>
      </c>
      <c r="C33" s="11" t="str">
        <f aca="false">IFERROR(INDEX($A$6:$A$15,MATCH(3,$I$6:$I$15,0)),"")</f>
        <v>KPR rumah</v>
      </c>
    </row>
    <row r="34" customFormat="false" ht="15" hidden="false" customHeight="false" outlineLevel="0" collapsed="false">
      <c r="A34" s="30" t="n">
        <v>4</v>
      </c>
      <c r="B34" s="11" t="str">
        <f aca="false">IFERROR(INDEX($A$6:$A$15,MATCH(4,$H$6:$H$15,0)),"")</f>
        <v/>
      </c>
      <c r="C34" s="11" t="str">
        <f aca="false">IFERROR(INDEX($A$6:$A$15,MATCH(4,$I$6:$I$15,0)),"")</f>
        <v/>
      </c>
    </row>
    <row r="35" customFormat="false" ht="15" hidden="false" customHeight="false" outlineLevel="0" collapsed="false">
      <c r="A35" s="30" t="n">
        <v>5</v>
      </c>
      <c r="B35" s="11" t="str">
        <f aca="false">IFERROR(INDEX($A$6:$A$15,MATCH(5,$H$6:$H$15,0)),"")</f>
        <v/>
      </c>
      <c r="C35" s="11" t="str">
        <f aca="false">IFERROR(INDEX($A$6:$A$15,MATCH(5,$I$6:$I$15,0)),"")</f>
        <v/>
      </c>
    </row>
    <row r="36" customFormat="false" ht="15" hidden="false" customHeight="false" outlineLevel="0" collapsed="false">
      <c r="A36" s="30" t="n">
        <v>6</v>
      </c>
      <c r="B36" s="11" t="str">
        <f aca="false">IFERROR(INDEX($A$6:$A$15,MATCH(6,$H$6:$H$15,0)),"")</f>
        <v/>
      </c>
      <c r="C36" s="11" t="str">
        <f aca="false">IFERROR(INDEX($A$6:$A$15,MATCH(6,$I$6:$I$15,0)),"")</f>
        <v/>
      </c>
    </row>
    <row r="37" customFormat="false" ht="15" hidden="false" customHeight="false" outlineLevel="0" collapsed="false">
      <c r="A37" s="30" t="n">
        <v>7</v>
      </c>
      <c r="B37" s="11" t="str">
        <f aca="false">IFERROR(INDEX($A$6:$A$15,MATCH(7,$H$6:$H$15,0)),"")</f>
        <v/>
      </c>
      <c r="C37" s="11" t="str">
        <f aca="false">IFERROR(INDEX($A$6:$A$15,MATCH(7,$I$6:$I$15,0)),"")</f>
        <v/>
      </c>
    </row>
    <row r="38" customFormat="false" ht="15" hidden="false" customHeight="false" outlineLevel="0" collapsed="false">
      <c r="A38" s="30" t="n">
        <v>8</v>
      </c>
      <c r="B38" s="11" t="str">
        <f aca="false">IFERROR(INDEX($A$6:$A$15,MATCH(8,$H$6:$H$15,0)),"")</f>
        <v/>
      </c>
      <c r="C38" s="11" t="str">
        <f aca="false">IFERROR(INDEX($A$6:$A$15,MATCH(8,$I$6:$I$15,0)),"")</f>
        <v/>
      </c>
    </row>
    <row r="39" customFormat="false" ht="15" hidden="false" customHeight="false" outlineLevel="0" collapsed="false">
      <c r="A39" s="30" t="n">
        <v>9</v>
      </c>
      <c r="B39" s="11" t="str">
        <f aca="false">IFERROR(INDEX($A$6:$A$15,MATCH(9,$H$6:$H$15,0)),"")</f>
        <v/>
      </c>
      <c r="C39" s="11" t="str">
        <f aca="false">IFERROR(INDEX($A$6:$A$15,MATCH(9,$I$6:$I$15,0)),"")</f>
        <v/>
      </c>
    </row>
    <row r="40" customFormat="false" ht="15" hidden="false" customHeight="false" outlineLevel="0" collapsed="false">
      <c r="A40" s="30" t="n">
        <v>10</v>
      </c>
      <c r="B40" s="11" t="str">
        <f aca="false">IFERROR(INDEX($A$6:$A$15,MATCH(10,$H$6:$H$15,0)),"")</f>
        <v/>
      </c>
      <c r="C40" s="11" t="str">
        <f aca="false">IFERROR(INDEX($A$6:$A$15,MATCH(10,$I$6:$I$15,0)),"")</f>
        <v/>
      </c>
    </row>
    <row r="42" customFormat="false" ht="15" hidden="false" customHeight="false" outlineLevel="0" collapsed="false">
      <c r="A42" s="2" t="s">
        <v>150</v>
      </c>
    </row>
    <row r="43" customFormat="false" ht="15" hidden="false" customHeight="false" outlineLevel="0" collapsed="false">
      <c r="A43" s="2" t="s">
        <v>151</v>
      </c>
    </row>
    <row r="44" customFormat="false" ht="15" hidden="false" customHeight="false" outlineLevel="0" collapsed="false">
      <c r="A44" s="2" t="s">
        <v>152</v>
      </c>
    </row>
    <row r="45" customFormat="false" ht="15" hidden="false" customHeight="false" outlineLevel="0" collapsed="false">
      <c r="A45" s="2" t="s">
        <v>153</v>
      </c>
    </row>
    <row r="46" customFormat="false" ht="15" hidden="false" customHeight="false" outlineLevel="0" collapsed="false">
      <c r="A46" s="2" t="s">
        <v>154</v>
      </c>
    </row>
  </sheetData>
  <conditionalFormatting sqref="B24">
    <cfRule type="cellIs" priority="2" operator="equal" aboveAverage="0" equalAverage="0" bottom="0" percent="0" rank="0" text="" dxfId="2">
      <formula>"Aman"</formula>
    </cfRule>
    <cfRule type="cellIs" priority="3" operator="equal" aboveAverage="0" equalAverage="0" bottom="0" percent="0" rank="0" text="" dxfId="1">
      <formula>"Waspada"</formula>
    </cfRule>
    <cfRule type="cellIs" priority="4" operator="equal" aboveAverage="0" equalAverage="0" bottom="0" percent="0" rank="0" text="" dxfId="0">
      <formula>"Berat"</formula>
    </cfRule>
  </conditionalFormatting>
  <dataValidations count="1">
    <dataValidation allowBlank="true" errorStyle="warning" operator="between" showDropDown="false" showErrorMessage="true" showInputMessage="false" sqref="B6:B15" type="list">
      <formula1>"KPR,Kendaraan,Kartu kredit,PayLater,KTA/Pinjaman,Lainnya"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2026-10-18T13:02:12Z</dcterms:created>
  <dc:creator>openpyxl</dc:creator>
  <dc:description/>
  <dc:language>en-US</dc:language>
  <cp:lastModifiedBy/>
  <dcterms:modified xsi:type="dcterms:W3CDTF">2026-10-18T13:02:25Z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