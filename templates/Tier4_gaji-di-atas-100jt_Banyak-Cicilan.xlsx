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Cici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<sst xmlns="http://schemas.openxmlformats.org/spreadsheetml/2006/main" count="204" uniqueCount="155">
  <si>
    <t xml:space="preserve">Template Keuangan - Banyak Cicilan</t>
  </si>
  <si>
    <t xml:space="preserve">Tier 4: di atas Rp100.000.000 per bulan (di atas Rp1,2 miliar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</si>
  <si>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</si>
  <si>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</si>
  <si>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'Cicilan', timpa 3 baris contoh dengan cicilan/utangmu. Rasio dan urutan pelunasan terisi otomatis.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</si>
  <si>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</si>
  <si>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</si>
  <si>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</si>
  <si>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</si>
  <si>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</si>
  <si>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</si>
  <si>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</si>
  <si>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</si>
  <si>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</si>
  <si>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</si>
  <si>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</si>
  <si>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</si>
  <si>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</si>
  <si>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</si>
  <si>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</si>
  <si>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</si>
  <si>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</si>
  <si>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Cicilan &amp; utang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</si>
  <si>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</si>
  <si>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</si>
  <si>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</si>
  <si>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</si>
  <si>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</si>
  <si>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</si>
  <si>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</si>
  <si>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</si>
  <si>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</si>
  <si>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</si>
  <si>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</si>
  <si>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</si>
  <si>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</si>
  <si>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</si>
  <si>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</si>
  <si>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</si>
  <si>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</si>
  <si>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</si>
  <si>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</si>
  <si>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</si>
  <si>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</si>
  <si>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</si>
  <si>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</si>
  <si>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</si>
  <si>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</si>
  <si>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</si>
  <si>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</si>
  <si>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</si>
  <si>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</si>
  <si>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</si>
  <si>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</si>
  <si>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</si>
  <si>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</si>
  <si>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</si>
  <si>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</si>
  <si>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</si>
  <si>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</si>
  <si>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</si>
  <si>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</si>
  <si>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</si>
  <si>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</si>
  <si>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</si>
  <si>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</si>
  <si>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</si>
  <si>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</si>
  <si>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</si>
  <si>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</si>
  <si>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</si>
  <si>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Cicilan rumah (KPR)</t>
  </si>
  <si>
    <t xml:space="preserve">Cicilan kendaraan</t>
  </si>
  <si>
    <t xml:space="preserve">Kartu kredit &amp; paylater</t>
  </si>
  <si>
    <t xml:space="preserve">Pinjaman lain</t>
  </si>
  <si>
    <t xml:space="preserve">Sewa/tempat tinggal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</si>
  <si>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</si>
  <si>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</si>
  <si>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</si>
  <si>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</si>
  <si>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</si>
  <si>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Asuransi</t>
  </si>
  <si>
    <t xml:space="preserve">Pajak</t>
  </si>
  <si>
    <t xml:space="preserve">Zakat &amp; donasi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</si>
  <si>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</si>
  <si>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</si>
  <si>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</si>
  <si>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</si>
  <si>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 &amp; 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</si>
  <si>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</si>
  <si>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</si>
  <si>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</si>
  <si>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</si>
  <si>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</si>
  <si>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</si>
  <si>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</si>
  <si>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</si>
  <si>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</si>
  <si>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</si>
  <si>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</si>
  <si>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</si>
  <si>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</si>
  <si>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</si>
  <si>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</si>
  <si>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</si>
  <si>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</si>
  <si>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</si>
  <si>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</si>
  <si>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</si>
  <si>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</si>
  <si>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</si>
  <si>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</si>
  <si>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</si>
  <si>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 + cicilan)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</si>
  <si>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</si>
  <si>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</si>
  <si>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</si>
  <si>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</si>
  <si>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</si>
  <si>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</si>
  <si>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</si>
  <si>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</si>
  <si>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</si>
  <si>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Cicilan</t>
  </si>
  <si>
    <t xml:space="preserve">Isi daftar cicilan/utangmu. 3 baris pertama adalah CONTOH, timpa dengan datamu.</t>
  </si>
  <si>
    <t xml:space="preserve">1. Daftar cicilan</t>
  </si>
  <si>
    <t xml:space="preserve">Nama cicilan</t>
  </si>
  <si>
    <t xml:space="preserve">Sisa pokok (Rp)</t>
  </si>
  <si>
    <t xml:space="preserve">Bunga per tahun</t>
  </si>
  <si>
    <t xml:space="preserve">Cicilan per bulan (Rp)</t>
  </si>
  <si>
    <t xml:space="preserve">Sisa tenor (bulan)</t>
  </si>
  <si>
    <t xml:space="preserve">Jatuh tempo (tanggal)</t>
  </si>
  <si>
    <t xml:space="preserve">Urutan Avalanche</t>
  </si>
  <si>
    <t xml:space="preserve">Urutan Snowball</t>
  </si>
  <si>
    <t xml:space="preserve">KPR rumah</t>
  </si>
  <si>
    <t xml:space="preserve">KPR</t>
  </si>
  <si>
    <t xml:space="preserve">Mobil</t>
  </si>
  <si>
    <t xml:space="preserve">Kendaraan</t>
  </si>
  <si>
    <t xml:space="preserve">Kartu kredit</t>
  </si>
  <si>
    <t xml:space="preserve">2. Rasio cicilan dan status</t>
  </si>
  <si>
    <t xml:space="preserve">Total cicilan per bulan</t>
  </si>
  <si>
    <t xml:space="preserve">Rasio cicilan terhadap penghasilan</t>
  </si>
  <si>
    <t xml:space="preserve">Batas aman rasio cicilan</t>
  </si>
  <si>
    <t xml:space="preserve">Total sisa pokok utang</t>
  </si>
  <si>
    <t xml:space="preserve">Cicilan terlama (bulan)</t>
  </si>
  <si>
    <t xml:space="preserve">Ruang cicilan tersisa per bulan (sampai batas aman)</t>
  </si>
  <si>
    <t xml:space="preserve">3. Urutan pelunasan</t>
  </si>
  <si>
    <t xml:space="preserve">Urutan ke-</t>
  </si>
  <si>
    <t xml:space="preserve">Avalanche (bunga tertinggi dulu)</t>
  </si>
  <si>
    <t xml:space="preserve">Snowball (sisa pokok terkecil dulu)</t>
  </si>
  <si>
    <t xml:space="preserve">Asumsi: batas aman 30% adalah pedoman umum (bukan aturan resmi). Ubah di sel kuning kalau perlu.</t>
  </si>
  <si>
    <t xml:space="preserve">Status: Aman = rasio sampai batas; Waspada = sampai 10 poin di atas batas; Berat = lebih dari itu.</t>
  </si>
  <si>
    <t xml:space="preserve">Kalau status Waspada atau Berat, tunda cicilan baru dan fokus melunasi dulu.</t>
  </si>
  <si>
    <t xml:space="preserve">Avalanche paling hemat bunga; Snowball memberi rasa progres karena utang kecil lunas lebih cepat.</t>
  </si>
  <si>
    <t xml:space="preserve">Ini panduan umum, bukan nasihat keuangan.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</si>
</sst>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  <numFmt numFmtId="171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Dashboard!B43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Dashboard!$A$44:$A$55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Dashboard!$B$44:$B$55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Dashboard!G43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Dashboard!$A$44:$A$55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Dashboard!$G$44:$G$55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3339616"/>
        <c:axId val="48039984"/>
      </c:barChart>
      <c:catAx>
        <c:axId val="733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39984"/>
        <c:crosses val="autoZero"/>
        <c:auto val="1"/>
        <c:lblAlgn val="ctr"/>
        <c:lblOffset val="100"/>
        <c:noMultiLvlLbl val="0"/>
      </c:catAx>
      <c:valAx>
        <c:axId val="48039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39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57</xdr:row>
      <xdr:rowOff>160920</xdr:rowOff>
    </xdr:from>
    <xdr:to>
      <xdr:col>3</xdr:col>
      <xdr:colOff>1137960</xdr:colOff>
      <xdr:row>72</xdr:row>
      <xdr:rowOff>182880</xdr:rowOff>
    </xdr:to>
    <xdr:graphicFrame>
      <xdr:nvGraphicFramePr>
        <xdr:cNvPr id="0" name="Chart 1"/>
        <xdr:cNvGraphicFramePr/>
      </xdr:nvGraphicFramePr>
      <xdr:xfrm>
        <a:off x="0" y="11049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150000000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150000000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1800000000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INDEX($B$32:$B$33,$B$34)</f>
        <v>0.2</v>
      </c>
      <c r="C22" s="13" t="n">
        <f aca="false">B22*$B$15</f>
        <v>30000000</v>
      </c>
      <c r="D22" s="13" t="n">
        <f aca="false">C22*12</f>
        <v>360000000</v>
      </c>
    </row>
    <row r="23" customFormat="false" ht="15" hidden="false" customHeight="false" outlineLevel="0" collapsed="false">
      <c r="A23" s="11" t="s">
        <v>23</v>
      </c>
      <c r="B23" s="12" t="n">
        <f aca="false">INDEX($C$32:$C$33,$B$34)</f>
        <v>0.15</v>
      </c>
      <c r="C23" s="13" t="n">
        <f aca="false">B23*$B$15</f>
        <v>22500000</v>
      </c>
      <c r="D23" s="13" t="n">
        <f aca="false">C23*12</f>
        <v>270000000</v>
      </c>
    </row>
    <row r="24" customFormat="false" ht="15" hidden="false" customHeight="false" outlineLevel="0" collapsed="false">
      <c r="A24" s="11" t="s">
        <v>24</v>
      </c>
      <c r="B24" s="12" t="n">
        <f aca="false">INDEX($D$32:$D$33,$B$34)</f>
        <v>0.2</v>
      </c>
      <c r="C24" s="13" t="n">
        <f aca="false">B24*$B$15</f>
        <v>30000000</v>
      </c>
      <c r="D24" s="13" t="n">
        <f aca="false">C24*12</f>
        <v>360000000</v>
      </c>
    </row>
    <row r="25" customFormat="false" ht="15" hidden="false" customHeight="false" outlineLevel="0" collapsed="false">
      <c r="A25" s="11" t="s">
        <v>25</v>
      </c>
      <c r="B25" s="12" t="n">
        <f aca="false">INDEX($E$32:$E$33,$B$34)</f>
        <v>0.45</v>
      </c>
      <c r="C25" s="13" t="n">
        <f aca="false">B25*$B$15</f>
        <v>67500000</v>
      </c>
      <c r="D25" s="13" t="n">
        <f aca="false">C25*12</f>
        <v>810000000</v>
      </c>
    </row>
    <row r="26" customFormat="false" ht="15" hidden="false" customHeight="false" outlineLevel="0" collapsed="false">
      <c r="A26" s="14" t="s">
        <v>26</v>
      </c>
      <c r="B26" s="15" t="n">
        <f aca="false">SUM(B22:B25)</f>
        <v>1</v>
      </c>
      <c r="C26" s="16" t="n">
        <f aca="false">SUM(C22:C25)</f>
        <v>150000000</v>
      </c>
      <c r="D26" s="16" t="n">
        <f aca="false">SUM(D22:D25)</f>
        <v>1800000000</v>
      </c>
    </row>
    <row r="27" customFormat="false" ht="15" hidden="false" customHeight="false" outlineLevel="0" collapsed="false">
      <c r="A27" s="4" t="s">
        <v>27</v>
      </c>
      <c r="B27" s="7" t="str">
        <f aca="false">IF(ROUND(B26,4)=1,"OK","Harus 100%")</f>
        <v>OK</v>
      </c>
    </row>
    <row r="30" customFormat="false" ht="15" hidden="false" customHeight="false" outlineLevel="0" collapsed="false">
      <c r="A30" s="3" t="s">
        <v>28</v>
      </c>
    </row>
    <row r="31" customFormat="false" ht="15" hidden="false" customHeight="false" outlineLevel="0" collapsed="false">
      <c r="A31" s="10" t="s">
        <v>29</v>
      </c>
      <c r="B31" s="10" t="s">
        <v>22</v>
      </c>
      <c r="C31" s="10" t="s">
        <v>23</v>
      </c>
      <c r="D31" s="10" t="s">
        <v>24</v>
      </c>
      <c r="E31" s="10" t="s">
        <v>25</v>
      </c>
    </row>
    <row r="32" customFormat="false" ht="15" hidden="false" customHeight="false" outlineLevel="0" collapsed="false">
      <c r="A32" s="17" t="n">
        <v>200000000</v>
      </c>
      <c r="B32" s="18" t="n">
        <v>0.2</v>
      </c>
      <c r="C32" s="18" t="n">
        <v>0.15</v>
      </c>
      <c r="D32" s="18" t="n">
        <v>0.2</v>
      </c>
      <c r="E32" s="18" t="n">
        <v>0.45</v>
      </c>
    </row>
    <row r="33" customFormat="false" ht="15" hidden="false" customHeight="false" outlineLevel="0" collapsed="false">
      <c r="A33" s="17" t="n">
        <v>1000000000000</v>
      </c>
      <c r="B33" s="18" t="n">
        <v>0.15</v>
      </c>
      <c r="C33" s="18" t="n">
        <v>0.15</v>
      </c>
      <c r="D33" s="18" t="n">
        <v>0.2</v>
      </c>
      <c r="E33" s="18" t="n">
        <v>0.5</v>
      </c>
    </row>
    <row r="34" customFormat="false" ht="15" hidden="false" customHeight="false" outlineLevel="0" collapsed="false">
      <c r="A34" s="4" t="s">
        <v>30</v>
      </c>
      <c r="B34" s="19" t="n">
        <f aca="false">MIN(COUNTIF($A$32:$A$33,"&lt;"&amp;$B$15)+1,2)</f>
        <v>1</v>
      </c>
    </row>
    <row r="36" customFormat="false" ht="15" hidden="false" customHeight="false" outlineLevel="0" collapsed="false">
      <c r="A36" s="20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  <row r="42" customFormat="false" ht="15" hidden="false" customHeight="false" outlineLevel="0" collapsed="false">
      <c r="A4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15" hidden="false" customHeight="false" outlineLevel="0" collapsed="false">
      <c r="A4" s="21" t="n">
        <v>46027</v>
      </c>
      <c r="B4" s="22" t="s">
        <v>41</v>
      </c>
      <c r="C4" s="22" t="s">
        <v>42</v>
      </c>
      <c r="D4" s="22" t="s">
        <v>43</v>
      </c>
      <c r="E4" s="23" t="n">
        <v>150000</v>
      </c>
    </row>
    <row r="5" customFormat="false" ht="15" hidden="false" customHeight="false" outlineLevel="0" collapsed="false">
      <c r="A5" s="2" t="s">
        <v>44</v>
      </c>
    </row>
    <row r="6" customFormat="false" ht="15" hidden="false" customHeight="false" outlineLevel="0" collapsed="false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IF(OR(C7="",B7&lt;&gt;"Pengeluaran"),"",IFERROR(INDEX(Dashboard!$B$18:$B$39,MATCH(C7,Dashboard!$A$18:$A$39,0)),""))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IF(OR(C8="",B8&lt;&gt;"Pengeluaran"),"",IFERROR(INDEX(Dashboard!$B$18:$B$39,MATCH(C8,Dashboard!$A$18:$A$39,0)),""))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IF(OR(C9="",B9&lt;&gt;"Pengeluaran"),"",IFERROR(INDEX(Dashboard!$B$18:$B$39,MATCH(C9,Dashboard!$A$18:$A$39,0)),""))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IF(OR(C10="",B10&lt;&gt;"Pengeluaran"),"",IFERROR(INDEX(Dashboard!$B$18:$B$39,MATCH(C10,Dashboard!$A$18:$A$39,0)),""))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IF(OR(C11="",B11&lt;&gt;"Pengeluaran"),"",IFERROR(INDEX(Dashboard!$B$18:$B$39,MATCH(C11,Dashboard!$A$18:$A$39,0)),""))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IF(OR(C12="",B12&lt;&gt;"Pengeluaran"),"",IFERROR(INDEX(Dashboard!$B$18:$B$39,MATCH(C12,Dashboard!$A$18:$A$39,0)),""))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IF(OR(C13="",B13&lt;&gt;"Pengeluaran"),"",IFERROR(INDEX(Dashboard!$B$18:$B$39,MATCH(C13,Dashboard!$A$18:$A$39,0)),""))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IF(OR(C14="",B14&lt;&gt;"Pengeluaran"),"",IFERROR(INDEX(Dashboard!$B$18:$B$39,MATCH(C14,Dashboard!$A$18:$A$39,0)),""))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IF(OR(C15="",B15&lt;&gt;"Pengeluaran"),"",IFERROR(INDEX(Dashboard!$B$18:$B$39,MATCH(C15,Dashboard!$A$18:$A$39,0)),""))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IF(OR(C16="",B16&lt;&gt;"Pengeluaran"),"",IFERROR(INDEX(Dashboard!$B$18:$B$39,MATCH(C16,Dashboard!$A$18:$A$39,0)),""))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IF(OR(C17="",B17&lt;&gt;"Pengeluaran"),"",IFERROR(INDEX(Dashboard!$B$18:$B$39,MATCH(C17,Dashboard!$A$18:$A$39,0)),""))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IF(OR(C18="",B18&lt;&gt;"Pengeluaran"),"",IFERROR(INDEX(Dashboard!$B$18:$B$39,MATCH(C18,Dashboard!$A$18:$A$39,0)),""))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IF(OR(C19="",B19&lt;&gt;"Pengeluaran"),"",IFERROR(INDEX(Dashboard!$B$18:$B$39,MATCH(C19,Dashboard!$A$18:$A$39,0)),""))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IF(OR(C20="",B20&lt;&gt;"Pengeluaran"),"",IFERROR(INDEX(Dashboard!$B$18:$B$39,MATCH(C20,Dashboard!$A$18:$A$39,0)),""))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IF(OR(C21="",B21&lt;&gt;"Pengeluaran"),"",IFERROR(INDEX(Dashboard!$B$18:$B$39,MATCH(C21,Dashboard!$A$18:$A$39,0)),""))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IF(OR(C22="",B22&lt;&gt;"Pengeluaran"),"",IFERROR(INDEX(Dashboard!$B$18:$B$39,MATCH(C22,Dashboard!$A$18:$A$39,0)),""))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IF(OR(C23="",B23&lt;&gt;"Pengeluaran"),"",IFERROR(INDEX(Dashboard!$B$18:$B$39,MATCH(C23,Dashboard!$A$18:$A$39,0)),""))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IF(OR(C24="",B24&lt;&gt;"Pengeluaran"),"",IFERROR(INDEX(Dashboard!$B$18:$B$39,MATCH(C24,Dashboard!$A$18:$A$39,0)),""))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IF(OR(C25="",B25&lt;&gt;"Pengeluaran"),"",IFERROR(INDEX(Dashboard!$B$18:$B$39,MATCH(C25,Dashboard!$A$18:$A$39,0)),""))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IF(OR(C26="",B26&lt;&gt;"Pengeluaran"),"",IFERROR(INDEX(Dashboard!$B$18:$B$39,MATCH(C26,Dashboard!$A$18:$A$39,0)),""))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IF(OR(C27="",B27&lt;&gt;"Pengeluaran"),"",IFERROR(INDEX(Dashboard!$B$18:$B$39,MATCH(C27,Dashboard!$A$18:$A$39,0)),""))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IF(OR(C28="",B28&lt;&gt;"Pengeluaran"),"",IFERROR(INDEX(Dashboard!$B$18:$B$39,MATCH(C28,Dashboard!$A$18:$A$39,0)),""))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IF(OR(C29="",B29&lt;&gt;"Pengeluaran"),"",IFERROR(INDEX(Dashboard!$B$18:$B$39,MATCH(C29,Dashboard!$A$18:$A$39,0)),""))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IF(OR(C30="",B30&lt;&gt;"Pengeluaran"),"",IFERROR(INDEX(Dashboard!$B$18:$B$39,MATCH(C30,Dashboard!$A$18:$A$39,0)),""))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IF(OR(C31="",B31&lt;&gt;"Pengeluaran"),"",IFERROR(INDEX(Dashboard!$B$18:$B$39,MATCH(C31,Dashboard!$A$18:$A$39,0)),""))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IF(OR(C32="",B32&lt;&gt;"Pengeluaran"),"",IFERROR(INDEX(Dashboard!$B$18:$B$39,MATCH(C32,Dashboard!$A$18:$A$39,0)),""))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IF(OR(C33="",B33&lt;&gt;"Pengeluaran"),"",IFERROR(INDEX(Dashboard!$B$18:$B$39,MATCH(C33,Dashboard!$A$18:$A$39,0)),""))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IF(OR(C34="",B34&lt;&gt;"Pengeluaran"),"",IFERROR(INDEX(Dashboard!$B$18:$B$39,MATCH(C34,Dashboard!$A$18:$A$39,0)),""))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IF(OR(C35="",B35&lt;&gt;"Pengeluaran"),"",IFERROR(INDEX(Dashboard!$B$18:$B$39,MATCH(C35,Dashboard!$A$18:$A$39,0)),""))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IF(OR(C36="",B36&lt;&gt;"Pengeluaran"),"",IFERROR(INDEX(Dashboard!$B$18:$B$39,MATCH(C36,Dashboard!$A$18:$A$39,0)),""))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IF(OR(C37="",B37&lt;&gt;"Pengeluaran"),"",IFERROR(INDEX(Dashboard!$B$18:$B$39,MATCH(C37,Dashboard!$A$18:$A$39,0)),""))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IF(OR(C38="",B38&lt;&gt;"Pengeluaran"),"",IFERROR(INDEX(Dashboard!$B$18:$B$39,MATCH(C38,Dashboard!$A$18:$A$39,0)),""))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IF(OR(C39="",B39&lt;&gt;"Pengeluaran"),"",IFERROR(INDEX(Dashboard!$B$18:$B$39,MATCH(C39,Dashboard!$A$18:$A$39,0)),""))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IF(OR(C40="",B40&lt;&gt;"Pengeluaran"),"",IFERROR(INDEX(Dashboard!$B$18:$B$39,MATCH(C40,Dashboard!$A$18:$A$39,0)),""))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IF(OR(C41="",B41&lt;&gt;"Pengeluaran"),"",IFERROR(INDEX(Dashboard!$B$18:$B$39,MATCH(C41,Dashboard!$A$18:$A$39,0)),""))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IF(OR(C42="",B42&lt;&gt;"Pengeluaran"),"",IFERROR(INDEX(Dashboard!$B$18:$B$39,MATCH(C42,Dashboard!$A$18:$A$39,0)),""))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IF(OR(C43="",B43&lt;&gt;"Pengeluaran"),"",IFERROR(INDEX(Dashboard!$B$18:$B$39,MATCH(C43,Dashboard!$A$18:$A$39,0)),""))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IF(OR(C44="",B44&lt;&gt;"Pengeluaran"),"",IFERROR(INDEX(Dashboard!$B$18:$B$39,MATCH(C44,Dashboard!$A$18:$A$39,0)),""))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IF(OR(C45="",B45&lt;&gt;"Pengeluaran"),"",IFERROR(INDEX(Dashboard!$B$18:$B$39,MATCH(C45,Dashboard!$A$18:$A$39,0)),""))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IF(OR(C46="",B46&lt;&gt;"Pengeluaran"),"",IFERROR(INDEX(Dashboard!$B$18:$B$39,MATCH(C46,Dashboard!$A$18:$A$39,0)),""))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IF(OR(C47="",B47&lt;&gt;"Pengeluaran"),"",IFERROR(INDEX(Dashboard!$B$18:$B$39,MATCH(C47,Dashboard!$A$18:$A$39,0)),""))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IF(OR(C48="",B48&lt;&gt;"Pengeluaran"),"",IFERROR(INDEX(Dashboard!$B$18:$B$39,MATCH(C48,Dashboard!$A$18:$A$39,0)),""))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IF(OR(C49="",B49&lt;&gt;"Pengeluaran"),"",IFERROR(INDEX(Dashboard!$B$18:$B$39,MATCH(C49,Dashboard!$A$18:$A$39,0)),""))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IF(OR(C50="",B50&lt;&gt;"Pengeluaran"),"",IFERROR(INDEX(Dashboard!$B$18:$B$39,MATCH(C50,Dashboard!$A$18:$A$39,0)),""))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IF(OR(C51="",B51&lt;&gt;"Pengeluaran"),"",IFERROR(INDEX(Dashboard!$B$18:$B$39,MATCH(C51,Dashboard!$A$18:$A$39,0)),""))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IF(OR(C52="",B52&lt;&gt;"Pengeluaran"),"",IFERROR(INDEX(Dashboard!$B$18:$B$39,MATCH(C52,Dashboard!$A$18:$A$39,0)),""))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IF(OR(C53="",B53&lt;&gt;"Pengeluaran"),"",IFERROR(INDEX(Dashboard!$B$18:$B$39,MATCH(C53,Dashboard!$A$18:$A$39,0)),""))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IF(OR(C54="",B54&lt;&gt;"Pengeluaran"),"",IFERROR(INDEX(Dashboard!$B$18:$B$39,MATCH(C54,Dashboard!$A$18:$A$39,0)),""))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IF(OR(C55="",B55&lt;&gt;"Pengeluaran"),"",IFERROR(INDEX(Dashboard!$B$18:$B$39,MATCH(C55,Dashboard!$A$18:$A$39,0)),""))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IF(OR(C56="",B56&lt;&gt;"Pengeluaran"),"",IFERROR(INDEX(Dashboard!$B$18:$B$39,MATCH(C56,Dashboard!$A$18:$A$39,0)),""))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IF(OR(C57="",B57&lt;&gt;"Pengeluaran"),"",IFERROR(INDEX(Dashboard!$B$18:$B$39,MATCH(C57,Dashboard!$A$18:$A$39,0)),""))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IF(OR(C58="",B58&lt;&gt;"Pengeluaran"),"",IFERROR(INDEX(Dashboard!$B$18:$B$39,MATCH(C58,Dashboard!$A$18:$A$39,0)),""))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IF(OR(C59="",B59&lt;&gt;"Pengeluaran"),"",IFERROR(INDEX(Dashboard!$B$18:$B$39,MATCH(C59,Dashboard!$A$18:$A$39,0)),""))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IF(OR(C60="",B60&lt;&gt;"Pengeluaran"),"",IFERROR(INDEX(Dashboard!$B$18:$B$39,MATCH(C60,Dashboard!$A$18:$A$39,0)),""))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IF(OR(C61="",B61&lt;&gt;"Pengeluaran"),"",IFERROR(INDEX(Dashboard!$B$18:$B$39,MATCH(C61,Dashboard!$A$18:$A$39,0)),""))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IF(OR(C62="",B62&lt;&gt;"Pengeluaran"),"",IFERROR(INDEX(Dashboard!$B$18:$B$39,MATCH(C62,Dashboard!$A$18:$A$39,0)),""))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IF(OR(C63="",B63&lt;&gt;"Pengeluaran"),"",IFERROR(INDEX(Dashboard!$B$18:$B$39,MATCH(C63,Dashboard!$A$18:$A$39,0)),""))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IF(OR(C64="",B64&lt;&gt;"Pengeluaran"),"",IFERROR(INDEX(Dashboard!$B$18:$B$39,MATCH(C64,Dashboard!$A$18:$A$39,0)),""))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IF(OR(C65="",B65&lt;&gt;"Pengeluaran"),"",IFERROR(INDEX(Dashboard!$B$18:$B$39,MATCH(C65,Dashboard!$A$18:$A$39,0)),""))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IF(OR(C66="",B66&lt;&gt;"Pengeluaran"),"",IFERROR(INDEX(Dashboard!$B$18:$B$39,MATCH(C66,Dashboard!$A$18:$A$39,0)),""))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IF(OR(C67="",B67&lt;&gt;"Pengeluaran"),"",IFERROR(INDEX(Dashboard!$B$18:$B$39,MATCH(C67,Dashboard!$A$18:$A$39,0)),""))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IF(OR(C68="",B68&lt;&gt;"Pengeluaran"),"",IFERROR(INDEX(Dashboard!$B$18:$B$39,MATCH(C68,Dashboard!$A$18:$A$39,0)),""))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IF(OR(C69="",B69&lt;&gt;"Pengeluaran"),"",IFERROR(INDEX(Dashboard!$B$18:$B$39,MATCH(C69,Dashboard!$A$18:$A$39,0)),""))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IF(OR(C70="",B70&lt;&gt;"Pengeluaran"),"",IFERROR(INDEX(Dashboard!$B$18:$B$39,MATCH(C70,Dashboard!$A$18:$A$39,0)),""))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IF(OR(C71="",B71&lt;&gt;"Pengeluaran"),"",IFERROR(INDEX(Dashboard!$B$18:$B$39,MATCH(C71,Dashboard!$A$18:$A$39,0)),""))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IF(OR(C72="",B72&lt;&gt;"Pengeluaran"),"",IFERROR(INDEX(Dashboard!$B$18:$B$39,MATCH(C72,Dashboard!$A$18:$A$39,0)),""))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IF(OR(C73="",B73&lt;&gt;"Pengeluaran"),"",IFERROR(INDEX(Dashboard!$B$18:$B$39,MATCH(C73,Dashboard!$A$18:$A$39,0)),""))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IF(OR(C74="",B74&lt;&gt;"Pengeluaran"),"",IFERROR(INDEX(Dashboard!$B$18:$B$39,MATCH(C74,Dashboard!$A$18:$A$39,0)),""))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IF(OR(C75="",B75&lt;&gt;"Pengeluaran"),"",IFERROR(INDEX(Dashboard!$B$18:$B$39,MATCH(C75,Dashboard!$A$18:$A$39,0)),""))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IF(OR(C76="",B76&lt;&gt;"Pengeluaran"),"",IFERROR(INDEX(Dashboard!$B$18:$B$39,MATCH(C76,Dashboard!$A$18:$A$39,0)),""))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IF(OR(C77="",B77&lt;&gt;"Pengeluaran"),"",IFERROR(INDEX(Dashboard!$B$18:$B$39,MATCH(C77,Dashboard!$A$18:$A$39,0)),""))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IF(OR(C78="",B78&lt;&gt;"Pengeluaran"),"",IFERROR(INDEX(Dashboard!$B$18:$B$39,MATCH(C78,Dashboard!$A$18:$A$39,0)),""))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IF(OR(C79="",B79&lt;&gt;"Pengeluaran"),"",IFERROR(INDEX(Dashboard!$B$18:$B$39,MATCH(C79,Dashboard!$A$18:$A$39,0)),""))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IF(OR(C80="",B80&lt;&gt;"Pengeluaran"),"",IFERROR(INDEX(Dashboard!$B$18:$B$39,MATCH(C80,Dashboard!$A$18:$A$39,0)),""))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IF(OR(C81="",B81&lt;&gt;"Pengeluaran"),"",IFERROR(INDEX(Dashboard!$B$18:$B$39,MATCH(C81,Dashboard!$A$18:$A$39,0)),""))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IF(OR(C82="",B82&lt;&gt;"Pengeluaran"),"",IFERROR(INDEX(Dashboard!$B$18:$B$39,MATCH(C82,Dashboard!$A$18:$A$39,0)),""))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IF(OR(C83="",B83&lt;&gt;"Pengeluaran"),"",IFERROR(INDEX(Dashboard!$B$18:$B$39,MATCH(C83,Dashboard!$A$18:$A$39,0)),""))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IF(OR(C84="",B84&lt;&gt;"Pengeluaran"),"",IFERROR(INDEX(Dashboard!$B$18:$B$39,MATCH(C84,Dashboard!$A$18:$A$39,0)),""))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IF(OR(C85="",B85&lt;&gt;"Pengeluaran"),"",IFERROR(INDEX(Dashboard!$B$18:$B$39,MATCH(C85,Dashboard!$A$18:$A$39,0)),""))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IF(OR(C86="",B86&lt;&gt;"Pengeluaran"),"",IFERROR(INDEX(Dashboard!$B$18:$B$39,MATCH(C86,Dashboard!$A$18:$A$39,0)),""))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IF(OR(C87="",B87&lt;&gt;"Pengeluaran"),"",IFERROR(INDEX(Dashboard!$B$18:$B$39,MATCH(C87,Dashboard!$A$18:$A$39,0)),""))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IF(OR(C88="",B88&lt;&gt;"Pengeluaran"),"",IFERROR(INDEX(Dashboard!$B$18:$B$39,MATCH(C88,Dashboard!$A$18:$A$39,0)),""))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IF(OR(C89="",B89&lt;&gt;"Pengeluaran"),"",IFERROR(INDEX(Dashboard!$B$18:$B$39,MATCH(C89,Dashboard!$A$18:$A$39,0)),""))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IF(OR(C90="",B90&lt;&gt;"Pengeluaran"),"",IFERROR(INDEX(Dashboard!$B$18:$B$39,MATCH(C90,Dashboard!$A$18:$A$39,0)),""))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IF(OR(C91="",B91&lt;&gt;"Pengeluaran"),"",IFERROR(INDEX(Dashboard!$B$18:$B$39,MATCH(C91,Dashboard!$A$18:$A$39,0)),""))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IF(OR(C92="",B92&lt;&gt;"Pengeluaran"),"",IFERROR(INDEX(Dashboard!$B$18:$B$39,MATCH(C92,Dashboard!$A$18:$A$39,0)),""))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IF(OR(C93="",B93&lt;&gt;"Pengeluaran"),"",IFERROR(INDEX(Dashboard!$B$18:$B$39,MATCH(C93,Dashboard!$A$18:$A$39,0)),""))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IF(OR(C94="",B94&lt;&gt;"Pengeluaran"),"",IFERROR(INDEX(Dashboard!$B$18:$B$39,MATCH(C94,Dashboard!$A$18:$A$39,0)),""))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IF(OR(C95="",B95&lt;&gt;"Pengeluaran"),"",IFERROR(INDEX(Dashboard!$B$18:$B$39,MATCH(C95,Dashboard!$A$18:$A$39,0)),""))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IF(OR(C96="",B96&lt;&gt;"Pengeluaran"),"",IFERROR(INDEX(Dashboard!$B$18:$B$39,MATCH(C96,Dashboard!$A$18:$A$39,0)),""))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IF(OR(C97="",B97&lt;&gt;"Pengeluaran"),"",IFERROR(INDEX(Dashboard!$B$18:$B$39,MATCH(C97,Dashboard!$A$18:$A$39,0)),""))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IF(OR(C98="",B98&lt;&gt;"Pengeluaran"),"",IFERROR(INDEX(Dashboard!$B$18:$B$39,MATCH(C98,Dashboard!$A$18:$A$39,0)),""))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IF(OR(C99="",B99&lt;&gt;"Pengeluaran"),"",IFERROR(INDEX(Dashboard!$B$18:$B$39,MATCH(C99,Dashboard!$A$18:$A$39,0)),""))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IF(OR(C100="",B100&lt;&gt;"Pengeluaran"),"",IFERROR(INDEX(Dashboard!$B$18:$B$39,MATCH(C100,Dashboard!$A$18:$A$39,0)),""))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IF(OR(C101="",B101&lt;&gt;"Pengeluaran"),"",IFERROR(INDEX(Dashboard!$B$18:$B$39,MATCH(C101,Dashboard!$A$18:$A$39,0)),""))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IF(OR(C102="",B102&lt;&gt;"Pengeluaran"),"",IFERROR(INDEX(Dashboard!$B$18:$B$39,MATCH(C102,Dashboard!$A$18:$A$39,0)),""))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IF(OR(C103="",B103&lt;&gt;"Pengeluaran"),"",IFERROR(INDEX(Dashboard!$B$18:$B$39,MATCH(C103,Dashboard!$A$18:$A$39,0)),""))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IF(OR(C104="",B104&lt;&gt;"Pengeluaran"),"",IFERROR(INDEX(Dashboard!$B$18:$B$39,MATCH(C104,Dashboard!$A$18:$A$39,0)),""))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IF(OR(C105="",B105&lt;&gt;"Pengeluaran"),"",IFERROR(INDEX(Dashboard!$B$18:$B$39,MATCH(C105,Dashboard!$A$18:$A$39,0)),""))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IF(OR(C106="",B106&lt;&gt;"Pengeluaran"),"",IFERROR(INDEX(Dashboard!$B$18:$B$39,MATCH(C106,Dashboard!$A$18:$A$39,0)),""))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IF(OR(C107="",B107&lt;&gt;"Pengeluaran"),"",IFERROR(INDEX(Dashboard!$B$18:$B$39,MATCH(C107,Dashboard!$A$18:$A$39,0)),""))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IF(OR(C108="",B108&lt;&gt;"Pengeluaran"),"",IFERROR(INDEX(Dashboard!$B$18:$B$39,MATCH(C108,Dashboard!$A$18:$A$39,0)),""))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IF(OR(C109="",B109&lt;&gt;"Pengeluaran"),"",IFERROR(INDEX(Dashboard!$B$18:$B$39,MATCH(C109,Dashboard!$A$18:$A$39,0)),""))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IF(OR(C110="",B110&lt;&gt;"Pengeluaran"),"",IFERROR(INDEX(Dashboard!$B$18:$B$39,MATCH(C110,Dashboard!$A$18:$A$39,0)),""))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IF(OR(C111="",B111&lt;&gt;"Pengeluaran"),"",IFERROR(INDEX(Dashboard!$B$18:$B$39,MATCH(C111,Dashboard!$A$18:$A$39,0)),""))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IF(OR(C112="",B112&lt;&gt;"Pengeluaran"),"",IFERROR(INDEX(Dashboard!$B$18:$B$39,MATCH(C112,Dashboard!$A$18:$A$39,0)),""))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IF(OR(C113="",B113&lt;&gt;"Pengeluaran"),"",IFERROR(INDEX(Dashboard!$B$18:$B$39,MATCH(C113,Dashboard!$A$18:$A$39,0)),""))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IF(OR(C114="",B114&lt;&gt;"Pengeluaran"),"",IFERROR(INDEX(Dashboard!$B$18:$B$39,MATCH(C114,Dashboard!$A$18:$A$39,0)),""))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IF(OR(C115="",B115&lt;&gt;"Pengeluaran"),"",IFERROR(INDEX(Dashboard!$B$18:$B$39,MATCH(C115,Dashboard!$A$18:$A$39,0)),""))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IF(OR(C116="",B116&lt;&gt;"Pengeluaran"),"",IFERROR(INDEX(Dashboard!$B$18:$B$39,MATCH(C116,Dashboard!$A$18:$A$39,0)),""))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IF(OR(C117="",B117&lt;&gt;"Pengeluaran"),"",IFERROR(INDEX(Dashboard!$B$18:$B$39,MATCH(C117,Dashboard!$A$18:$A$39,0)),""))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IF(OR(C118="",B118&lt;&gt;"Pengeluaran"),"",IFERROR(INDEX(Dashboard!$B$18:$B$39,MATCH(C118,Dashboard!$A$18:$A$39,0)),""))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IF(OR(C119="",B119&lt;&gt;"Pengeluaran"),"",IFERROR(INDEX(Dashboard!$B$18:$B$39,MATCH(C119,Dashboard!$A$18:$A$39,0)),""))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IF(OR(C120="",B120&lt;&gt;"Pengeluaran"),"",IFERROR(INDEX(Dashboard!$B$18:$B$39,MATCH(C120,Dashboard!$A$18:$A$39,0)),""))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IF(OR(C121="",B121&lt;&gt;"Pengeluaran"),"",IFERROR(INDEX(Dashboard!$B$18:$B$39,MATCH(C121,Dashboard!$A$18:$A$39,0)),""))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IF(OR(C122="",B122&lt;&gt;"Pengeluaran"),"",IFERROR(INDEX(Dashboard!$B$18:$B$39,MATCH(C122,Dashboard!$A$18:$A$39,0)),""))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IF(OR(C123="",B123&lt;&gt;"Pengeluaran"),"",IFERROR(INDEX(Dashboard!$B$18:$B$39,MATCH(C123,Dashboard!$A$18:$A$39,0)),""))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IF(OR(C124="",B124&lt;&gt;"Pengeluaran"),"",IFERROR(INDEX(Dashboard!$B$18:$B$39,MATCH(C124,Dashboard!$A$18:$A$39,0)),""))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IF(OR(C125="",B125&lt;&gt;"Pengeluaran"),"",IFERROR(INDEX(Dashboard!$B$18:$B$39,MATCH(C125,Dashboard!$A$18:$A$39,0)),""))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IF(OR(C126="",B126&lt;&gt;"Pengeluaran"),"",IFERROR(INDEX(Dashboard!$B$18:$B$39,MATCH(C126,Dashboard!$A$18:$A$39,0)),""))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IF(OR(C127="",B127&lt;&gt;"Pengeluaran"),"",IFERROR(INDEX(Dashboard!$B$18:$B$39,MATCH(C127,Dashboard!$A$18:$A$39,0)),""))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IF(OR(C128="",B128&lt;&gt;"Pengeluaran"),"",IFERROR(INDEX(Dashboard!$B$18:$B$39,MATCH(C128,Dashboard!$A$18:$A$39,0)),""))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IF(OR(C129="",B129&lt;&gt;"Pengeluaran"),"",IFERROR(INDEX(Dashboard!$B$18:$B$39,MATCH(C129,Dashboard!$A$18:$A$39,0)),""))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IF(OR(C130="",B130&lt;&gt;"Pengeluaran"),"",IFERROR(INDEX(Dashboard!$B$18:$B$39,MATCH(C130,Dashboard!$A$18:$A$39,0)),""))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IF(OR(C131="",B131&lt;&gt;"Pengeluaran"),"",IFERROR(INDEX(Dashboard!$B$18:$B$39,MATCH(C131,Dashboard!$A$18:$A$39,0)),""))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IF(OR(C132="",B132&lt;&gt;"Pengeluaran"),"",IFERROR(INDEX(Dashboard!$B$18:$B$39,MATCH(C132,Dashboard!$A$18:$A$39,0)),""))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IF(OR(C133="",B133&lt;&gt;"Pengeluaran"),"",IFERROR(INDEX(Dashboard!$B$18:$B$39,MATCH(C133,Dashboard!$A$18:$A$39,0)),""))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IF(OR(C134="",B134&lt;&gt;"Pengeluaran"),"",IFERROR(INDEX(Dashboard!$B$18:$B$39,MATCH(C134,Dashboard!$A$18:$A$39,0)),""))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IF(OR(C135="",B135&lt;&gt;"Pengeluaran"),"",IFERROR(INDEX(Dashboard!$B$18:$B$39,MATCH(C135,Dashboard!$A$18:$A$39,0)),""))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IF(OR(C136="",B136&lt;&gt;"Pengeluaran"),"",IFERROR(INDEX(Dashboard!$B$18:$B$39,MATCH(C136,Dashboard!$A$18:$A$39,0)),""))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IF(OR(C137="",B137&lt;&gt;"Pengeluaran"),"",IFERROR(INDEX(Dashboard!$B$18:$B$39,MATCH(C137,Dashboard!$A$18:$A$39,0)),""))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IF(OR(C138="",B138&lt;&gt;"Pengeluaran"),"",IFERROR(INDEX(Dashboard!$B$18:$B$39,MATCH(C138,Dashboard!$A$18:$A$39,0)),""))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IF(OR(C139="",B139&lt;&gt;"Pengeluaran"),"",IFERROR(INDEX(Dashboard!$B$18:$B$39,MATCH(C139,Dashboard!$A$18:$A$39,0)),""))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IF(OR(C140="",B140&lt;&gt;"Pengeluaran"),"",IFERROR(INDEX(Dashboard!$B$18:$B$39,MATCH(C140,Dashboard!$A$18:$A$39,0)),""))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IF(OR(C141="",B141&lt;&gt;"Pengeluaran"),"",IFERROR(INDEX(Dashboard!$B$18:$B$39,MATCH(C141,Dashboard!$A$18:$A$39,0)),""))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IF(OR(C142="",B142&lt;&gt;"Pengeluaran"),"",IFERROR(INDEX(Dashboard!$B$18:$B$39,MATCH(C142,Dashboard!$A$18:$A$39,0)),""))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IF(OR(C143="",B143&lt;&gt;"Pengeluaran"),"",IFERROR(INDEX(Dashboard!$B$18:$B$39,MATCH(C143,Dashboard!$A$18:$A$39,0)),""))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IF(OR(C144="",B144&lt;&gt;"Pengeluaran"),"",IFERROR(INDEX(Dashboard!$B$18:$B$39,MATCH(C144,Dashboard!$A$18:$A$39,0)),""))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IF(OR(C145="",B145&lt;&gt;"Pengeluaran"),"",IFERROR(INDEX(Dashboard!$B$18:$B$39,MATCH(C145,Dashboard!$A$18:$A$39,0)),""))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IF(OR(C146="",B146&lt;&gt;"Pengeluaran"),"",IFERROR(INDEX(Dashboard!$B$18:$B$39,MATCH(C146,Dashboard!$A$18:$A$39,0)),""))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IF(OR(C147="",B147&lt;&gt;"Pengeluaran"),"",IFERROR(INDEX(Dashboard!$B$18:$B$39,MATCH(C147,Dashboard!$A$18:$A$39,0)),""))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IF(OR(C148="",B148&lt;&gt;"Pengeluaran"),"",IFERROR(INDEX(Dashboard!$B$18:$B$39,MATCH(C148,Dashboard!$A$18:$A$39,0)),""))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IF(OR(C149="",B149&lt;&gt;"Pengeluaran"),"",IFERROR(INDEX(Dashboard!$B$18:$B$39,MATCH(C149,Dashboard!$A$18:$A$39,0)),""))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IF(OR(C150="",B150&lt;&gt;"Pengeluaran"),"",IFERROR(INDEX(Dashboard!$B$18:$B$39,MATCH(C150,Dashboard!$A$18:$A$39,0)),""))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IF(OR(C151="",B151&lt;&gt;"Pengeluaran"),"",IFERROR(INDEX(Dashboard!$B$18:$B$39,MATCH(C151,Dashboard!$A$18:$A$39,0)),""))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IF(OR(C152="",B152&lt;&gt;"Pengeluaran"),"",IFERROR(INDEX(Dashboard!$B$18:$B$39,MATCH(C152,Dashboard!$A$18:$A$39,0)),""))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IF(OR(C153="",B153&lt;&gt;"Pengeluaran"),"",IFERROR(INDEX(Dashboard!$B$18:$B$39,MATCH(C153,Dashboard!$A$18:$A$39,0)),""))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IF(OR(C154="",B154&lt;&gt;"Pengeluaran"),"",IFERROR(INDEX(Dashboard!$B$18:$B$39,MATCH(C154,Dashboard!$A$18:$A$39,0)),""))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IF(OR(C155="",B155&lt;&gt;"Pengeluaran"),"",IFERROR(INDEX(Dashboard!$B$18:$B$39,MATCH(C155,Dashboard!$A$18:$A$39,0)),""))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IF(OR(C156="",B156&lt;&gt;"Pengeluaran"),"",IFERROR(INDEX(Dashboard!$B$18:$B$39,MATCH(C156,Dashboard!$A$18:$A$39,0)),""))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IF(OR(C157="",B157&lt;&gt;"Pengeluaran"),"",IFERROR(INDEX(Dashboard!$B$18:$B$39,MATCH(C157,Dashboard!$A$18:$A$39,0)),""))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IF(OR(C158="",B158&lt;&gt;"Pengeluaran"),"",IFERROR(INDEX(Dashboard!$B$18:$B$39,MATCH(C158,Dashboard!$A$18:$A$39,0)),""))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IF(OR(C159="",B159&lt;&gt;"Pengeluaran"),"",IFERROR(INDEX(Dashboard!$B$18:$B$39,MATCH(C159,Dashboard!$A$18:$A$39,0)),""))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IF(OR(C160="",B160&lt;&gt;"Pengeluaran"),"",IFERROR(INDEX(Dashboard!$B$18:$B$39,MATCH(C160,Dashboard!$A$18:$A$39,0)),""))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IF(OR(C161="",B161&lt;&gt;"Pengeluaran"),"",IFERROR(INDEX(Dashboard!$B$18:$B$39,MATCH(C161,Dashboard!$A$18:$A$39,0)),""))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IF(OR(C162="",B162&lt;&gt;"Pengeluaran"),"",IFERROR(INDEX(Dashboard!$B$18:$B$39,MATCH(C162,Dashboard!$A$18:$A$39,0)),""))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IF(OR(C163="",B163&lt;&gt;"Pengeluaran"),"",IFERROR(INDEX(Dashboard!$B$18:$B$39,MATCH(C163,Dashboard!$A$18:$A$39,0)),""))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IF(OR(C164="",B164&lt;&gt;"Pengeluaran"),"",IFERROR(INDEX(Dashboard!$B$18:$B$39,MATCH(C164,Dashboard!$A$18:$A$39,0)),""))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IF(OR(C165="",B165&lt;&gt;"Pengeluaran"),"",IFERROR(INDEX(Dashboard!$B$18:$B$39,MATCH(C165,Dashboard!$A$18:$A$39,0)),""))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IF(OR(C166="",B166&lt;&gt;"Pengeluaran"),"",IFERROR(INDEX(Dashboard!$B$18:$B$39,MATCH(C166,Dashboard!$A$18:$A$39,0)),""))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IF(OR(C167="",B167&lt;&gt;"Pengeluaran"),"",IFERROR(INDEX(Dashboard!$B$18:$B$39,MATCH(C167,Dashboard!$A$18:$A$39,0)),""))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IF(OR(C168="",B168&lt;&gt;"Pengeluaran"),"",IFERROR(INDEX(Dashboard!$B$18:$B$39,MATCH(C168,Dashboard!$A$18:$A$39,0)),""))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IF(OR(C169="",B169&lt;&gt;"Pengeluaran"),"",IFERROR(INDEX(Dashboard!$B$18:$B$39,MATCH(C169,Dashboard!$A$18:$A$39,0)),""))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IF(OR(C170="",B170&lt;&gt;"Pengeluaran"),"",IFERROR(INDEX(Dashboard!$B$18:$B$39,MATCH(C170,Dashboard!$A$18:$A$39,0)),""))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IF(OR(C171="",B171&lt;&gt;"Pengeluaran"),"",IFERROR(INDEX(Dashboard!$B$18:$B$39,MATCH(C171,Dashboard!$A$18:$A$39,0)),""))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IF(OR(C172="",B172&lt;&gt;"Pengeluaran"),"",IFERROR(INDEX(Dashboard!$B$18:$B$39,MATCH(C172,Dashboard!$A$18:$A$39,0)),""))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IF(OR(C173="",B173&lt;&gt;"Pengeluaran"),"",IFERROR(INDEX(Dashboard!$B$18:$B$39,MATCH(C173,Dashboard!$A$18:$A$39,0)),""))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IF(OR(C174="",B174&lt;&gt;"Pengeluaran"),"",IFERROR(INDEX(Dashboard!$B$18:$B$39,MATCH(C174,Dashboard!$A$18:$A$39,0)),""))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IF(OR(C175="",B175&lt;&gt;"Pengeluaran"),"",IFERROR(INDEX(Dashboard!$B$18:$B$39,MATCH(C175,Dashboard!$A$18:$A$39,0)),""))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IF(OR(C176="",B176&lt;&gt;"Pengeluaran"),"",IFERROR(INDEX(Dashboard!$B$18:$B$39,MATCH(C176,Dashboard!$A$18:$A$39,0)),""))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IF(OR(C177="",B177&lt;&gt;"Pengeluaran"),"",IFERROR(INDEX(Dashboard!$B$18:$B$39,MATCH(C177,Dashboard!$A$18:$A$39,0)),""))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IF(OR(C178="",B178&lt;&gt;"Pengeluaran"),"",IFERROR(INDEX(Dashboard!$B$18:$B$39,MATCH(C178,Dashboard!$A$18:$A$39,0)),""))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IF(OR(C179="",B179&lt;&gt;"Pengeluaran"),"",IFERROR(INDEX(Dashboard!$B$18:$B$39,MATCH(C179,Dashboard!$A$18:$A$39,0)),""))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IF(OR(C180="",B180&lt;&gt;"Pengeluaran"),"",IFERROR(INDEX(Dashboard!$B$18:$B$39,MATCH(C180,Dashboard!$A$18:$A$39,0)),""))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IF(OR(C181="",B181&lt;&gt;"Pengeluaran"),"",IFERROR(INDEX(Dashboard!$B$18:$B$39,MATCH(C181,Dashboard!$A$18:$A$39,0)),""))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IF(OR(C182="",B182&lt;&gt;"Pengeluaran"),"",IFERROR(INDEX(Dashboard!$B$18:$B$39,MATCH(C182,Dashboard!$A$18:$A$39,0)),""))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IF(OR(C183="",B183&lt;&gt;"Pengeluaran"),"",IFERROR(INDEX(Dashboard!$B$18:$B$39,MATCH(C183,Dashboard!$A$18:$A$39,0)),""))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IF(OR(C184="",B184&lt;&gt;"Pengeluaran"),"",IFERROR(INDEX(Dashboard!$B$18:$B$39,MATCH(C184,Dashboard!$A$18:$A$39,0)),""))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IF(OR(C185="",B185&lt;&gt;"Pengeluaran"),"",IFERROR(INDEX(Dashboard!$B$18:$B$39,MATCH(C185,Dashboard!$A$18:$A$39,0)),""))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IF(OR(C186="",B186&lt;&gt;"Pengeluaran"),"",IFERROR(INDEX(Dashboard!$B$18:$B$39,MATCH(C186,Dashboard!$A$18:$A$39,0)),""))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IF(OR(C187="",B187&lt;&gt;"Pengeluaran"),"",IFERROR(INDEX(Dashboard!$B$18:$B$39,MATCH(C187,Dashboard!$A$18:$A$39,0)),""))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IF(OR(C188="",B188&lt;&gt;"Pengeluaran"),"",IFERROR(INDEX(Dashboard!$B$18:$B$39,MATCH(C188,Dashboard!$A$18:$A$39,0)),""))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IF(OR(C189="",B189&lt;&gt;"Pengeluaran"),"",IFERROR(INDEX(Dashboard!$B$18:$B$39,MATCH(C189,Dashboard!$A$18:$A$39,0)),""))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IF(OR(C190="",B190&lt;&gt;"Pengeluaran"),"",IFERROR(INDEX(Dashboard!$B$18:$B$39,MATCH(C190,Dashboard!$A$18:$A$39,0)),""))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IF(OR(C191="",B191&lt;&gt;"Pengeluaran"),"",IFERROR(INDEX(Dashboard!$B$18:$B$39,MATCH(C191,Dashboard!$A$18:$A$39,0)),""))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IF(OR(C192="",B192&lt;&gt;"Pengeluaran"),"",IFERROR(INDEX(Dashboard!$B$18:$B$39,MATCH(C192,Dashboard!$A$18:$A$39,0)),""))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IF(OR(C193="",B193&lt;&gt;"Pengeluaran"),"",IFERROR(INDEX(Dashboard!$B$18:$B$39,MATCH(C193,Dashboard!$A$18:$A$39,0)),""))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IF(OR(C194="",B194&lt;&gt;"Pengeluaran"),"",IFERROR(INDEX(Dashboard!$B$18:$B$39,MATCH(C194,Dashboard!$A$18:$A$39,0)),""))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IF(OR(C195="",B195&lt;&gt;"Pengeluaran"),"",IFERROR(INDEX(Dashboard!$B$18:$B$39,MATCH(C195,Dashboard!$A$18:$A$39,0)),""))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IF(OR(C196="",B196&lt;&gt;"Pengeluaran"),"",IFERROR(INDEX(Dashboard!$B$18:$B$39,MATCH(C196,Dashboard!$A$18:$A$39,0)),""))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IF(OR(C197="",B197&lt;&gt;"Pengeluaran"),"",IFERROR(INDEX(Dashboard!$B$18:$B$39,MATCH(C197,Dashboard!$A$18:$A$39,0)),""))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IF(OR(C198="",B198&lt;&gt;"Pengeluaran"),"",IFERROR(INDEX(Dashboard!$B$18:$B$39,MATCH(C198,Dashboard!$A$18:$A$39,0)),""))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IF(OR(C199="",B199&lt;&gt;"Pengeluaran"),"",IFERROR(INDEX(Dashboard!$B$18:$B$39,MATCH(C199,Dashboard!$A$18:$A$39,0)),""))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IF(OR(C200="",B200&lt;&gt;"Pengeluaran"),"",IFERROR(INDEX(Dashboard!$B$18:$B$39,MATCH(C200,Dashboard!$A$18:$A$39,0)),""))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IF(OR(C201="",B201&lt;&gt;"Pengeluaran"),"",IFERROR(INDEX(Dashboard!$B$18:$B$39,MATCH(C201,Dashboard!$A$18:$A$39,0)),""))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IF(OR(C202="",B202&lt;&gt;"Pengeluaran"),"",IFERROR(INDEX(Dashboard!$B$18:$B$39,MATCH(C202,Dashboard!$A$18:$A$39,0)),""))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IF(OR(C203="",B203&lt;&gt;"Pengeluaran"),"",IFERROR(INDEX(Dashboard!$B$18:$B$39,MATCH(C203,Dashboard!$A$18:$A$39,0)),""))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IF(OR(C204="",B204&lt;&gt;"Pengeluaran"),"",IFERROR(INDEX(Dashboard!$B$18:$B$39,MATCH(C204,Dashboard!$A$18:$A$39,0)),""))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IF(OR(C205="",B205&lt;&gt;"Pengeluaran"),"",IFERROR(INDEX(Dashboard!$B$18:$B$39,MATCH(C205,Dashboard!$A$18:$A$39,0)),""))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IF(OR(C206="",B206&lt;&gt;"Pengeluaran"),"",IFERROR(INDEX(Dashboard!$B$18:$B$39,MATCH(C206,Dashboard!$A$18:$A$39,0)),""))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IF(OR(C207="",B207&lt;&gt;"Pengeluaran"),"",IFERROR(INDEX(Dashboard!$B$18:$B$39,MATCH(C207,Dashboard!$A$18:$A$39,0)),""))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IF(OR(C208="",B208&lt;&gt;"Pengeluaran"),"",IFERROR(INDEX(Dashboard!$B$18:$B$39,MATCH(C208,Dashboard!$A$18:$A$39,0)),""))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IF(OR(C209="",B209&lt;&gt;"Pengeluaran"),"",IFERROR(INDEX(Dashboard!$B$18:$B$39,MATCH(C209,Dashboard!$A$18:$A$39,0)),""))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IF(OR(C210="",B210&lt;&gt;"Pengeluaran"),"",IFERROR(INDEX(Dashboard!$B$18:$B$39,MATCH(C210,Dashboard!$A$18:$A$39,0)),""))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IF(OR(C211="",B211&lt;&gt;"Pengeluaran"),"",IFERROR(INDEX(Dashboard!$B$18:$B$39,MATCH(C211,Dashboard!$A$18:$A$39,0)),""))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IF(OR(C212="",B212&lt;&gt;"Pengeluaran"),"",IFERROR(INDEX(Dashboard!$B$18:$B$39,MATCH(C212,Dashboard!$A$18:$A$39,0)),""))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IF(OR(C213="",B213&lt;&gt;"Pengeluaran"),"",IFERROR(INDEX(Dashboard!$B$18:$B$39,MATCH(C213,Dashboard!$A$18:$A$39,0)),""))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IF(OR(C214="",B214&lt;&gt;"Pengeluaran"),"",IFERROR(INDEX(Dashboard!$B$18:$B$39,MATCH(C214,Dashboard!$A$18:$A$39,0)),""))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IF(OR(C215="",B215&lt;&gt;"Pengeluaran"),"",IFERROR(INDEX(Dashboard!$B$18:$B$39,MATCH(C215,Dashboard!$A$18:$A$39,0)),""))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IF(OR(C216="",B216&lt;&gt;"Pengeluaran"),"",IFERROR(INDEX(Dashboard!$B$18:$B$39,MATCH(C216,Dashboard!$A$18:$A$39,0)),""))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IF(OR(C217="",B217&lt;&gt;"Pengeluaran"),"",IFERROR(INDEX(Dashboard!$B$18:$B$39,MATCH(C217,Dashboard!$A$18:$A$39,0)),""))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IF(OR(C218="",B218&lt;&gt;"Pengeluaran"),"",IFERROR(INDEX(Dashboard!$B$18:$B$39,MATCH(C218,Dashboard!$A$18:$A$39,0)),""))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IF(OR(C219="",B219&lt;&gt;"Pengeluaran"),"",IFERROR(INDEX(Dashboard!$B$18:$B$39,MATCH(C219,Dashboard!$A$18:$A$39,0)),""))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IF(OR(C220="",B220&lt;&gt;"Pengeluaran"),"",IFERROR(INDEX(Dashboard!$B$18:$B$39,MATCH(C220,Dashboard!$A$18:$A$39,0)),""))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IF(OR(C221="",B221&lt;&gt;"Pengeluaran"),"",IFERROR(INDEX(Dashboard!$B$18:$B$39,MATCH(C221,Dashboard!$A$18:$A$39,0)),""))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IF(OR(C222="",B222&lt;&gt;"Pengeluaran"),"",IFERROR(INDEX(Dashboard!$B$18:$B$39,MATCH(C222,Dashboard!$A$18:$A$39,0)),""))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IF(OR(C223="",B223&lt;&gt;"Pengeluaran"),"",IFERROR(INDEX(Dashboard!$B$18:$B$39,MATCH(C223,Dashboard!$A$18:$A$39,0)),""))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IF(OR(C224="",B224&lt;&gt;"Pengeluaran"),"",IFERROR(INDEX(Dashboard!$B$18:$B$39,MATCH(C224,Dashboard!$A$18:$A$39,0)),""))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IF(OR(C225="",B225&lt;&gt;"Pengeluaran"),"",IFERROR(INDEX(Dashboard!$B$18:$B$39,MATCH(C225,Dashboard!$A$18:$A$39,0)),""))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IF(OR(C226="",B226&lt;&gt;"Pengeluaran"),"",IFERROR(INDEX(Dashboard!$B$18:$B$39,MATCH(C226,Dashboard!$A$18:$A$39,0)),""))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IF(OR(C227="",B227&lt;&gt;"Pengeluaran"),"",IFERROR(INDEX(Dashboard!$B$18:$B$39,MATCH(C227,Dashboard!$A$18:$A$39,0)),""))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IF(OR(C228="",B228&lt;&gt;"Pengeluaran"),"",IFERROR(INDEX(Dashboard!$B$18:$B$39,MATCH(C228,Dashboard!$A$18:$A$39,0)),""))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IF(OR(C229="",B229&lt;&gt;"Pengeluaran"),"",IFERROR(INDEX(Dashboard!$B$18:$B$39,MATCH(C229,Dashboard!$A$18:$A$39,0)),""))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IF(OR(C230="",B230&lt;&gt;"Pengeluaran"),"",IFERROR(INDEX(Dashboard!$B$18:$B$39,MATCH(C230,Dashboard!$A$18:$A$39,0)),""))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IF(OR(C231="",B231&lt;&gt;"Pengeluaran"),"",IFERROR(INDEX(Dashboard!$B$18:$B$39,MATCH(C231,Dashboard!$A$18:$A$39,0)),""))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IF(OR(C232="",B232&lt;&gt;"Pengeluaran"),"",IFERROR(INDEX(Dashboard!$B$18:$B$39,MATCH(C232,Dashboard!$A$18:$A$39,0)),""))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IF(OR(C233="",B233&lt;&gt;"Pengeluaran"),"",IFERROR(INDEX(Dashboard!$B$18:$B$39,MATCH(C233,Dashboard!$A$18:$A$39,0)),""))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IF(OR(C234="",B234&lt;&gt;"Pengeluaran"),"",IFERROR(INDEX(Dashboard!$B$18:$B$39,MATCH(C234,Dashboard!$A$18:$A$39,0)),""))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IF(OR(C235="",B235&lt;&gt;"Pengeluaran"),"",IFERROR(INDEX(Dashboard!$B$18:$B$39,MATCH(C235,Dashboard!$A$18:$A$39,0)),""))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IF(OR(C236="",B236&lt;&gt;"Pengeluaran"),"",IFERROR(INDEX(Dashboard!$B$18:$B$39,MATCH(C236,Dashboard!$A$18:$A$39,0)),""))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IF(OR(C237="",B237&lt;&gt;"Pengeluaran"),"",IFERROR(INDEX(Dashboard!$B$18:$B$39,MATCH(C237,Dashboard!$A$18:$A$39,0)),""))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IF(OR(C238="",B238&lt;&gt;"Pengeluaran"),"",IFERROR(INDEX(Dashboard!$B$18:$B$39,MATCH(C238,Dashboard!$A$18:$A$39,0)),""))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IF(OR(C239="",B239&lt;&gt;"Pengeluaran"),"",IFERROR(INDEX(Dashboard!$B$18:$B$39,MATCH(C239,Dashboard!$A$18:$A$39,0)),""))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IF(OR(C240="",B240&lt;&gt;"Pengeluaran"),"",IFERROR(INDEX(Dashboard!$B$18:$B$39,MATCH(C240,Dashboard!$A$18:$A$39,0)),""))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IF(OR(C241="",B241&lt;&gt;"Pengeluaran"),"",IFERROR(INDEX(Dashboard!$B$18:$B$39,MATCH(C241,Dashboard!$A$18:$A$39,0)),""))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IF(OR(C242="",B242&lt;&gt;"Pengeluaran"),"",IFERROR(INDEX(Dashboard!$B$18:$B$39,MATCH(C242,Dashboard!$A$18:$A$39,0)),""))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IF(OR(C243="",B243&lt;&gt;"Pengeluaran"),"",IFERROR(INDEX(Dashboard!$B$18:$B$39,MATCH(C243,Dashboard!$A$18:$A$39,0)),""))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IF(OR(C244="",B244&lt;&gt;"Pengeluaran"),"",IFERROR(INDEX(Dashboard!$B$18:$B$39,MATCH(C244,Dashboard!$A$18:$A$39,0)),""))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IF(OR(C245="",B245&lt;&gt;"Pengeluaran"),"",IFERROR(INDEX(Dashboard!$B$18:$B$39,MATCH(C245,Dashboard!$A$18:$A$39,0)),""))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IF(OR(C246="",B246&lt;&gt;"Pengeluaran"),"",IFERROR(INDEX(Dashboard!$B$18:$B$39,MATCH(C246,Dashboard!$A$18:$A$39,0)),""))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IF(OR(C247="",B247&lt;&gt;"Pengeluaran"),"",IFERROR(INDEX(Dashboard!$B$18:$B$39,MATCH(C247,Dashboard!$A$18:$A$39,0)),""))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IF(OR(C248="",B248&lt;&gt;"Pengeluaran"),"",IFERROR(INDEX(Dashboard!$B$18:$B$39,MATCH(C248,Dashboard!$A$18:$A$39,0)),""))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IF(OR(C249="",B249&lt;&gt;"Pengeluaran"),"",IFERROR(INDEX(Dashboard!$B$18:$B$39,MATCH(C249,Dashboard!$A$18:$A$39,0)),""))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IF(OR(C250="",B250&lt;&gt;"Pengeluaran"),"",IFERROR(INDEX(Dashboard!$B$18:$B$39,MATCH(C250,Dashboard!$A$18:$A$39,0)),""))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IF(OR(C251="",B251&lt;&gt;"Pengeluaran"),"",IFERROR(INDEX(Dashboard!$B$18:$B$39,MATCH(C251,Dashboard!$A$18:$A$39,0)),""))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IF(OR(C252="",B252&lt;&gt;"Pengeluaran"),"",IFERROR(INDEX(Dashboard!$B$18:$B$39,MATCH(C252,Dashboard!$A$18:$A$39,0)),""))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IF(OR(C253="",B253&lt;&gt;"Pengeluaran"),"",IFERROR(INDEX(Dashboard!$B$18:$B$39,MATCH(C253,Dashboard!$A$18:$A$39,0)),""))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IF(OR(C254="",B254&lt;&gt;"Pengeluaran"),"",IFERROR(INDEX(Dashboard!$B$18:$B$39,MATCH(C254,Dashboard!$A$18:$A$39,0)),""))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IF(OR(C255="",B255&lt;&gt;"Pengeluaran"),"",IFERROR(INDEX(Dashboard!$B$18:$B$39,MATCH(C255,Dashboard!$A$18:$A$39,0)),""))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IF(OR(C256="",B256&lt;&gt;"Pengeluaran"),"",IFERROR(INDEX(Dashboard!$B$18:$B$39,MATCH(C256,Dashboard!$A$18:$A$39,0)),""))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IF(OR(C257="",B257&lt;&gt;"Pengeluaran"),"",IFERROR(INDEX(Dashboard!$B$18:$B$39,MATCH(C257,Dashboard!$A$18:$A$39,0)),""))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IF(OR(C258="",B258&lt;&gt;"Pengeluaran"),"",IFERROR(INDEX(Dashboard!$B$18:$B$39,MATCH(C258,Dashboard!$A$18:$A$39,0)),""))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IF(OR(C259="",B259&lt;&gt;"Pengeluaran"),"",IFERROR(INDEX(Dashboard!$B$18:$B$39,MATCH(C259,Dashboard!$A$18:$A$39,0)),""))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IF(OR(C260="",B260&lt;&gt;"Pengeluaran"),"",IFERROR(INDEX(Dashboard!$B$18:$B$39,MATCH(C260,Dashboard!$A$18:$A$39,0)),""))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IF(OR(C261="",B261&lt;&gt;"Pengeluaran"),"",IFERROR(INDEX(Dashboard!$B$18:$B$39,MATCH(C261,Dashboard!$A$18:$A$39,0)),""))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IF(OR(C262="",B262&lt;&gt;"Pengeluaran"),"",IFERROR(INDEX(Dashboard!$B$18:$B$39,MATCH(C262,Dashboard!$A$18:$A$39,0)),""))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IF(OR(C263="",B263&lt;&gt;"Pengeluaran"),"",IFERROR(INDEX(Dashboard!$B$18:$B$39,MATCH(C263,Dashboard!$A$18:$A$39,0)),""))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IF(OR(C264="",B264&lt;&gt;"Pengeluaran"),"",IFERROR(INDEX(Dashboard!$B$18:$B$39,MATCH(C264,Dashboard!$A$18:$A$39,0)),""))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IF(OR(C265="",B265&lt;&gt;"Pengeluaran"),"",IFERROR(INDEX(Dashboard!$B$18:$B$39,MATCH(C265,Dashboard!$A$18:$A$39,0)),""))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IF(OR(C266="",B266&lt;&gt;"Pengeluaran"),"",IFERROR(INDEX(Dashboard!$B$18:$B$39,MATCH(C266,Dashboard!$A$18:$A$39,0)),""))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IF(OR(C267="",B267&lt;&gt;"Pengeluaran"),"",IFERROR(INDEX(Dashboard!$B$18:$B$39,MATCH(C267,Dashboard!$A$18:$A$39,0)),""))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IF(OR(C268="",B268&lt;&gt;"Pengeluaran"),"",IFERROR(INDEX(Dashboard!$B$18:$B$39,MATCH(C268,Dashboard!$A$18:$A$39,0)),""))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IF(OR(C269="",B269&lt;&gt;"Pengeluaran"),"",IFERROR(INDEX(Dashboard!$B$18:$B$39,MATCH(C269,Dashboard!$A$18:$A$39,0)),""))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IF(OR(C270="",B270&lt;&gt;"Pengeluaran"),"",IFERROR(INDEX(Dashboard!$B$18:$B$39,MATCH(C270,Dashboard!$A$18:$A$39,0)),""))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IF(OR(C271="",B271&lt;&gt;"Pengeluaran"),"",IFERROR(INDEX(Dashboard!$B$18:$B$39,MATCH(C271,Dashboard!$A$18:$A$39,0)),""))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IF(OR(C272="",B272&lt;&gt;"Pengeluaran"),"",IFERROR(INDEX(Dashboard!$B$18:$B$39,MATCH(C272,Dashboard!$A$18:$A$39,0)),""))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IF(OR(C273="",B273&lt;&gt;"Pengeluaran"),"",IFERROR(INDEX(Dashboard!$B$18:$B$39,MATCH(C273,Dashboard!$A$18:$A$39,0)),""))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IF(OR(C274="",B274&lt;&gt;"Pengeluaran"),"",IFERROR(INDEX(Dashboard!$B$18:$B$39,MATCH(C274,Dashboard!$A$18:$A$39,0)),""))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IF(OR(C275="",B275&lt;&gt;"Pengeluaran"),"",IFERROR(INDEX(Dashboard!$B$18:$B$39,MATCH(C275,Dashboard!$A$18:$A$39,0)),""))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IF(OR(C276="",B276&lt;&gt;"Pengeluaran"),"",IFERROR(INDEX(Dashboard!$B$18:$B$39,MATCH(C276,Dashboard!$A$18:$A$39,0)),""))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IF(OR(C277="",B277&lt;&gt;"Pengeluaran"),"",IFERROR(INDEX(Dashboard!$B$18:$B$39,MATCH(C277,Dashboard!$A$18:$A$39,0)),""))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IF(OR(C278="",B278&lt;&gt;"Pengeluaran"),"",IFERROR(INDEX(Dashboard!$B$18:$B$39,MATCH(C278,Dashboard!$A$18:$A$39,0)),""))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IF(OR(C279="",B279&lt;&gt;"Pengeluaran"),"",IFERROR(INDEX(Dashboard!$B$18:$B$39,MATCH(C279,Dashboard!$A$18:$A$39,0)),""))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IF(OR(C280="",B280&lt;&gt;"Pengeluaran"),"",IFERROR(INDEX(Dashboard!$B$18:$B$39,MATCH(C280,Dashboard!$A$18:$A$39,0)),""))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IF(OR(C281="",B281&lt;&gt;"Pengeluaran"),"",IFERROR(INDEX(Dashboard!$B$18:$B$39,MATCH(C281,Dashboard!$A$18:$A$39,0)),""))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IF(OR(C282="",B282&lt;&gt;"Pengeluaran"),"",IFERROR(INDEX(Dashboard!$B$18:$B$39,MATCH(C282,Dashboard!$A$18:$A$39,0)),""))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IF(OR(C283="",B283&lt;&gt;"Pengeluaran"),"",IFERROR(INDEX(Dashboard!$B$18:$B$39,MATCH(C283,Dashboard!$A$18:$A$39,0)),""))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IF(OR(C284="",B284&lt;&gt;"Pengeluaran"),"",IFERROR(INDEX(Dashboard!$B$18:$B$39,MATCH(C284,Dashboard!$A$18:$A$39,0)),""))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IF(OR(C285="",B285&lt;&gt;"Pengeluaran"),"",IFERROR(INDEX(Dashboard!$B$18:$B$39,MATCH(C285,Dashboard!$A$18:$A$39,0)),""))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IF(OR(C286="",B286&lt;&gt;"Pengeluaran"),"",IFERROR(INDEX(Dashboard!$B$18:$B$39,MATCH(C286,Dashboard!$A$18:$A$39,0)),""))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IF(OR(C287="",B287&lt;&gt;"Pengeluaran"),"",IFERROR(INDEX(Dashboard!$B$18:$B$39,MATCH(C287,Dashboard!$A$18:$A$39,0)),""))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IF(OR(C288="",B288&lt;&gt;"Pengeluaran"),"",IFERROR(INDEX(Dashboard!$B$18:$B$39,MATCH(C288,Dashboard!$A$18:$A$39,0)),""))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IF(OR(C289="",B289&lt;&gt;"Pengeluaran"),"",IFERROR(INDEX(Dashboard!$B$18:$B$39,MATCH(C289,Dashboard!$A$18:$A$39,0)),""))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IF(OR(C290="",B290&lt;&gt;"Pengeluaran"),"",IFERROR(INDEX(Dashboard!$B$18:$B$39,MATCH(C290,Dashboard!$A$18:$A$39,0)),""))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IF(OR(C291="",B291&lt;&gt;"Pengeluaran"),"",IFERROR(INDEX(Dashboard!$B$18:$B$39,MATCH(C291,Dashboard!$A$18:$A$39,0)),""))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IF(OR(C292="",B292&lt;&gt;"Pengeluaran"),"",IFERROR(INDEX(Dashboard!$B$18:$B$39,MATCH(C292,Dashboard!$A$18:$A$39,0)),""))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IF(OR(C293="",B293&lt;&gt;"Pengeluaran"),"",IFERROR(INDEX(Dashboard!$B$18:$B$39,MATCH(C293,Dashboard!$A$18:$A$39,0)),""))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IF(OR(C294="",B294&lt;&gt;"Pengeluaran"),"",IFERROR(INDEX(Dashboard!$B$18:$B$39,MATCH(C294,Dashboard!$A$18:$A$39,0)),""))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IF(OR(C295="",B295&lt;&gt;"Pengeluaran"),"",IFERROR(INDEX(Dashboard!$B$18:$B$39,MATCH(C295,Dashboard!$A$18:$A$39,0)),""))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IF(OR(C296="",B296&lt;&gt;"Pengeluaran"),"",IFERROR(INDEX(Dashboard!$B$18:$B$39,MATCH(C296,Dashboard!$A$18:$A$39,0)),""))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IF(OR(C297="",B297&lt;&gt;"Pengeluaran"),"",IFERROR(INDEX(Dashboard!$B$18:$B$39,MATCH(C297,Dashboard!$A$18:$A$39,0)),""))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IF(OR(C298="",B298&lt;&gt;"Pengeluaran"),"",IFERROR(INDEX(Dashboard!$B$18:$B$39,MATCH(C298,Dashboard!$A$18:$A$39,0)),""))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IF(OR(C299="",B299&lt;&gt;"Pengeluaran"),"",IFERROR(INDEX(Dashboard!$B$18:$B$39,MATCH(C299,Dashboard!$A$18:$A$39,0)),""))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IF(OR(C300="",B300&lt;&gt;"Pengeluaran"),"",IFERROR(INDEX(Dashboard!$B$18:$B$39,MATCH(C300,Dashboard!$A$18:$A$39,0)),""))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IF(OR(C301="",B301&lt;&gt;"Pengeluaran"),"",IFERROR(INDEX(Dashboard!$B$18:$B$39,MATCH(C301,Dashboard!$A$18:$A$39,0)),""))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IF(OR(C302="",B302&lt;&gt;"Pengeluaran"),"",IFERROR(INDEX(Dashboard!$B$18:$B$39,MATCH(C302,Dashboard!$A$18:$A$39,0)),""))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IF(OR(C303="",B303&lt;&gt;"Pengeluaran"),"",IFERROR(INDEX(Dashboard!$B$18:$B$39,MATCH(C303,Dashboard!$A$18:$A$39,0)),""))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IF(OR(C304="",B304&lt;&gt;"Pengeluaran"),"",IFERROR(INDEX(Dashboard!$B$18:$B$39,MATCH(C304,Dashboard!$A$18:$A$39,0)),""))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IF(OR(C305="",B305&lt;&gt;"Pengeluaran"),"",IFERROR(INDEX(Dashboard!$B$18:$B$39,MATCH(C305,Dashboard!$A$18:$A$39,0)),""))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IF(OR(C306="",B306&lt;&gt;"Pengeluaran"),"",IFERROR(INDEX(Dashboard!$B$18:$B$39,MATCH(C306,Dashboard!$A$18:$A$39,0)),""))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IF(OR(C307="",B307&lt;&gt;"Pengeluaran"),"",IFERROR(INDEX(Dashboard!$B$18:$B$39,MATCH(C307,Dashboard!$A$18:$A$39,0)),""))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IF(OR(C308="",B308&lt;&gt;"Pengeluaran"),"",IFERROR(INDEX(Dashboard!$B$18:$B$39,MATCH(C308,Dashboard!$A$18:$A$39,0)),""))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IF(OR(C309="",B309&lt;&gt;"Pengeluaran"),"",IFERROR(INDEX(Dashboard!$B$18:$B$39,MATCH(C309,Dashboard!$A$18:$A$39,0)),""))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IF(OR(C310="",B310&lt;&gt;"Pengeluaran"),"",IFERROR(INDEX(Dashboard!$B$18:$B$39,MATCH(C310,Dashboard!$A$18:$A$39,0)),""))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IF(OR(C311="",B311&lt;&gt;"Pengeluaran"),"",IFERROR(INDEX(Dashboard!$B$18:$B$39,MATCH(C311,Dashboard!$A$18:$A$39,0)),""))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IF(OR(C312="",B312&lt;&gt;"Pengeluaran"),"",IFERROR(INDEX(Dashboard!$B$18:$B$39,MATCH(C312,Dashboard!$A$18:$A$39,0)),""))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IF(OR(C313="",B313&lt;&gt;"Pengeluaran"),"",IFERROR(INDEX(Dashboard!$B$18:$B$39,MATCH(C313,Dashboard!$A$18:$A$39,0)),""))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IF(OR(C314="",B314&lt;&gt;"Pengeluaran"),"",IFERROR(INDEX(Dashboard!$B$18:$B$39,MATCH(C314,Dashboard!$A$18:$A$39,0)),""))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IF(OR(C315="",B315&lt;&gt;"Pengeluaran"),"",IFERROR(INDEX(Dashboard!$B$18:$B$39,MATCH(C315,Dashboard!$A$18:$A$39,0)),""))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IF(OR(C316="",B316&lt;&gt;"Pengeluaran"),"",IFERROR(INDEX(Dashboard!$B$18:$B$39,MATCH(C316,Dashboard!$A$18:$A$39,0)),""))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IF(OR(C317="",B317&lt;&gt;"Pengeluaran"),"",IFERROR(INDEX(Dashboard!$B$18:$B$39,MATCH(C317,Dashboard!$A$18:$A$39,0)),""))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IF(OR(C318="",B318&lt;&gt;"Pengeluaran"),"",IFERROR(INDEX(Dashboard!$B$18:$B$39,MATCH(C318,Dashboard!$A$18:$A$39,0)),""))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IF(OR(C319="",B319&lt;&gt;"Pengeluaran"),"",IFERROR(INDEX(Dashboard!$B$18:$B$39,MATCH(C319,Dashboard!$A$18:$A$39,0)),""))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IF(OR(C320="",B320&lt;&gt;"Pengeluaran"),"",IFERROR(INDEX(Dashboard!$B$18:$B$39,MATCH(C320,Dashboard!$A$18:$A$39,0)),""))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IF(OR(C321="",B321&lt;&gt;"Pengeluaran"),"",IFERROR(INDEX(Dashboard!$B$18:$B$39,MATCH(C321,Dashboard!$A$18:$A$39,0)),""))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IF(OR(C322="",B322&lt;&gt;"Pengeluaran"),"",IFERROR(INDEX(Dashboard!$B$18:$B$39,MATCH(C322,Dashboard!$A$18:$A$39,0)),""))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IF(OR(C323="",B323&lt;&gt;"Pengeluaran"),"",IFERROR(INDEX(Dashboard!$B$18:$B$39,MATCH(C323,Dashboard!$A$18:$A$39,0)),""))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IF(OR(C324="",B324&lt;&gt;"Pengeluaran"),"",IFERROR(INDEX(Dashboard!$B$18:$B$39,MATCH(C324,Dashboard!$A$18:$A$39,0)),""))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IF(OR(C325="",B325&lt;&gt;"Pengeluaran"),"",IFERROR(INDEX(Dashboard!$B$18:$B$39,MATCH(C325,Dashboard!$A$18:$A$39,0)),""))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IF(OR(C326="",B326&lt;&gt;"Pengeluaran"),"",IFERROR(INDEX(Dashboard!$B$18:$B$39,MATCH(C326,Dashboard!$A$18:$A$39,0)),""))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IF(OR(C327="",B327&lt;&gt;"Pengeluaran"),"",IFERROR(INDEX(Dashboard!$B$18:$B$39,MATCH(C327,Dashboard!$A$18:$A$39,0)),""))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IF(OR(C328="",B328&lt;&gt;"Pengeluaran"),"",IFERROR(INDEX(Dashboard!$B$18:$B$39,MATCH(C328,Dashboard!$A$18:$A$39,0)),""))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IF(OR(C329="",B329&lt;&gt;"Pengeluaran"),"",IFERROR(INDEX(Dashboard!$B$18:$B$39,MATCH(C329,Dashboard!$A$18:$A$39,0)),""))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IF(OR(C330="",B330&lt;&gt;"Pengeluaran"),"",IFERROR(INDEX(Dashboard!$B$18:$B$39,MATCH(C330,Dashboard!$A$18:$A$39,0)),""))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IF(OR(C331="",B331&lt;&gt;"Pengeluaran"),"",IFERROR(INDEX(Dashboard!$B$18:$B$39,MATCH(C331,Dashboard!$A$18:$A$39,0)),""))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IF(OR(C332="",B332&lt;&gt;"Pengeluaran"),"",IFERROR(INDEX(Dashboard!$B$18:$B$39,MATCH(C332,Dashboard!$A$18:$A$39,0)),""))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IF(OR(C333="",B333&lt;&gt;"Pengeluaran"),"",IFERROR(INDEX(Dashboard!$B$18:$B$39,MATCH(C333,Dashboard!$A$18:$A$39,0)),""))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IF(OR(C334="",B334&lt;&gt;"Pengeluaran"),"",IFERROR(INDEX(Dashboard!$B$18:$B$39,MATCH(C334,Dashboard!$A$18:$A$39,0)),""))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IF(OR(C335="",B335&lt;&gt;"Pengeluaran"),"",IFERROR(INDEX(Dashboard!$B$18:$B$39,MATCH(C335,Dashboard!$A$18:$A$39,0)),""))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IF(OR(C336="",B336&lt;&gt;"Pengeluaran"),"",IFERROR(INDEX(Dashboard!$B$18:$B$39,MATCH(C336,Dashboard!$A$18:$A$39,0)),""))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IF(OR(C337="",B337&lt;&gt;"Pengeluaran"),"",IFERROR(INDEX(Dashboard!$B$18:$B$39,MATCH(C337,Dashboard!$A$18:$A$39,0)),""))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IF(OR(C338="",B338&lt;&gt;"Pengeluaran"),"",IFERROR(INDEX(Dashboard!$B$18:$B$39,MATCH(C338,Dashboard!$A$18:$A$39,0)),""))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IF(OR(C339="",B339&lt;&gt;"Pengeluaran"),"",IFERROR(INDEX(Dashboard!$B$18:$B$39,MATCH(C339,Dashboard!$A$18:$A$39,0)),""))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IF(OR(C340="",B340&lt;&gt;"Pengeluaran"),"",IFERROR(INDEX(Dashboard!$B$18:$B$39,MATCH(C340,Dashboard!$A$18:$A$39,0)),""))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IF(OR(C341="",B341&lt;&gt;"Pengeluaran"),"",IFERROR(INDEX(Dashboard!$B$18:$B$39,MATCH(C341,Dashboard!$A$18:$A$39,0)),""))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IF(OR(C342="",B342&lt;&gt;"Pengeluaran"),"",IFERROR(INDEX(Dashboard!$B$18:$B$39,MATCH(C342,Dashboard!$A$18:$A$39,0)),""))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IF(OR(C343="",B343&lt;&gt;"Pengeluaran"),"",IFERROR(INDEX(Dashboard!$B$18:$B$39,MATCH(C343,Dashboard!$A$18:$A$39,0)),""))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IF(OR(C344="",B344&lt;&gt;"Pengeluaran"),"",IFERROR(INDEX(Dashboard!$B$18:$B$39,MATCH(C344,Dashboard!$A$18:$A$39,0)),""))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IF(OR(C345="",B345&lt;&gt;"Pengeluaran"),"",IFERROR(INDEX(Dashboard!$B$18:$B$39,MATCH(C345,Dashboard!$A$18:$A$39,0)),""))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IF(OR(C346="",B346&lt;&gt;"Pengeluaran"),"",IFERROR(INDEX(Dashboard!$B$18:$B$39,MATCH(C346,Dashboard!$A$18:$A$39,0)),""))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IF(OR(C347="",B347&lt;&gt;"Pengeluaran"),"",IFERROR(INDEX(Dashboard!$B$18:$B$39,MATCH(C347,Dashboard!$A$18:$A$39,0)),""))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IF(OR(C348="",B348&lt;&gt;"Pengeluaran"),"",IFERROR(INDEX(Dashboard!$B$18:$B$39,MATCH(C348,Dashboard!$A$18:$A$39,0)),""))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IF(OR(C349="",B349&lt;&gt;"Pengeluaran"),"",IFERROR(INDEX(Dashboard!$B$18:$B$39,MATCH(C349,Dashboard!$A$18:$A$39,0)),""))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IF(OR(C350="",B350&lt;&gt;"Pengeluaran"),"",IFERROR(INDEX(Dashboard!$B$18:$B$39,MATCH(C350,Dashboard!$A$18:$A$39,0)),""))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IF(OR(C351="",B351&lt;&gt;"Pengeluaran"),"",IFERROR(INDEX(Dashboard!$B$18:$B$39,MATCH(C351,Dashboard!$A$18:$A$39,0)),""))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IF(OR(C352="",B352&lt;&gt;"Pengeluaran"),"",IFERROR(INDEX(Dashboard!$B$18:$B$39,MATCH(C352,Dashboard!$A$18:$A$39,0)),""))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IF(OR(C353="",B353&lt;&gt;"Pengeluaran"),"",IFERROR(INDEX(Dashboard!$B$18:$B$39,MATCH(C353,Dashboard!$A$18:$A$39,0)),""))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IF(OR(C354="",B354&lt;&gt;"Pengeluaran"),"",IFERROR(INDEX(Dashboard!$B$18:$B$39,MATCH(C354,Dashboard!$A$18:$A$39,0)),""))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IF(OR(C355="",B355&lt;&gt;"Pengeluaran"),"",IFERROR(INDEX(Dashboard!$B$18:$B$39,MATCH(C355,Dashboard!$A$18:$A$39,0)),""))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IF(OR(C356="",B356&lt;&gt;"Pengeluaran"),"",IFERROR(INDEX(Dashboard!$B$18:$B$39,MATCH(C356,Dashboard!$A$18:$A$39,0)),""))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IF(OR(C357="",B357&lt;&gt;"Pengeluaran"),"",IFERROR(INDEX(Dashboard!$B$18:$B$39,MATCH(C357,Dashboard!$A$18:$A$39,0)),""))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IF(OR(C358="",B358&lt;&gt;"Pengeluaran"),"",IFERROR(INDEX(Dashboard!$B$18:$B$39,MATCH(C358,Dashboard!$A$18:$A$39,0)),""))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IF(OR(C359="",B359&lt;&gt;"Pengeluaran"),"",IFERROR(INDEX(Dashboard!$B$18:$B$39,MATCH(C359,Dashboard!$A$18:$A$39,0)),""))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IF(OR(C360="",B360&lt;&gt;"Pengeluaran"),"",IFERROR(INDEX(Dashboard!$B$18:$B$39,MATCH(C360,Dashboard!$A$18:$A$39,0)),""))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IF(OR(C361="",B361&lt;&gt;"Pengeluaran"),"",IFERROR(INDEX(Dashboard!$B$18:$B$39,MATCH(C361,Dashboard!$A$18:$A$39,0)),""))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IF(OR(C362="",B362&lt;&gt;"Pengeluaran"),"",IFERROR(INDEX(Dashboard!$B$18:$B$39,MATCH(C362,Dashboard!$A$18:$A$39,0)),""))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IF(OR(C363="",B363&lt;&gt;"Pengeluaran"),"",IFERROR(INDEX(Dashboard!$B$18:$B$39,MATCH(C363,Dashboard!$A$18:$A$39,0)),""))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IF(OR(C364="",B364&lt;&gt;"Pengeluaran"),"",IFERROR(INDEX(Dashboard!$B$18:$B$39,MATCH(C364,Dashboard!$A$18:$A$39,0)),""))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IF(OR(C365="",B365&lt;&gt;"Pengeluaran"),"",IFERROR(INDEX(Dashboard!$B$18:$B$39,MATCH(C365,Dashboard!$A$18:$A$39,0)),""))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IF(OR(C366="",B366&lt;&gt;"Pengeluaran"),"",IFERROR(INDEX(Dashboard!$B$18:$B$39,MATCH(C366,Dashboard!$A$18:$A$39,0)),""))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IF(OR(C367="",B367&lt;&gt;"Pengeluaran"),"",IFERROR(INDEX(Dashboard!$B$18:$B$39,MATCH(C367,Dashboard!$A$18:$A$39,0)),""))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IF(OR(C368="",B368&lt;&gt;"Pengeluaran"),"",IFERROR(INDEX(Dashboard!$B$18:$B$39,MATCH(C368,Dashboard!$A$18:$A$39,0)),""))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IF(OR(C369="",B369&lt;&gt;"Pengeluaran"),"",IFERROR(INDEX(Dashboard!$B$18:$B$39,MATCH(C369,Dashboard!$A$18:$A$39,0)),""))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IF(OR(C370="",B370&lt;&gt;"Pengeluaran"),"",IFERROR(INDEX(Dashboard!$B$18:$B$39,MATCH(C370,Dashboard!$A$18:$A$39,0)),""))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IF(OR(C371="",B371&lt;&gt;"Pengeluaran"),"",IFERROR(INDEX(Dashboard!$B$18:$B$39,MATCH(C371,Dashboard!$A$18:$A$39,0)),""))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IF(OR(C372="",B372&lt;&gt;"Pengeluaran"),"",IFERROR(INDEX(Dashboard!$B$18:$B$39,MATCH(C372,Dashboard!$A$18:$A$39,0)),""))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IF(OR(C373="",B373&lt;&gt;"Pengeluaran"),"",IFERROR(INDEX(Dashboard!$B$18:$B$39,MATCH(C373,Dashboard!$A$18:$A$39,0)),""))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IF(OR(C374="",B374&lt;&gt;"Pengeluaran"),"",IFERROR(INDEX(Dashboard!$B$18:$B$39,MATCH(C374,Dashboard!$A$18:$A$39,0)),""))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IF(OR(C375="",B375&lt;&gt;"Pengeluaran"),"",IFERROR(INDEX(Dashboard!$B$18:$B$39,MATCH(C375,Dashboard!$A$18:$A$39,0)),""))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IF(OR(C376="",B376&lt;&gt;"Pengeluaran"),"",IFERROR(INDEX(Dashboard!$B$18:$B$39,MATCH(C376,Dashboard!$A$18:$A$39,0)),""))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IF(OR(C377="",B377&lt;&gt;"Pengeluaran"),"",IFERROR(INDEX(Dashboard!$B$18:$B$39,MATCH(C377,Dashboard!$A$18:$A$39,0)),""))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IF(OR(C378="",B378&lt;&gt;"Pengeluaran"),"",IFERROR(INDEX(Dashboard!$B$18:$B$39,MATCH(C378,Dashboard!$A$18:$A$39,0)),""))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IF(OR(C379="",B379&lt;&gt;"Pengeluaran"),"",IFERROR(INDEX(Dashboard!$B$18:$B$39,MATCH(C379,Dashboard!$A$18:$A$39,0)),""))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IF(OR(C380="",B380&lt;&gt;"Pengeluaran"),"",IFERROR(INDEX(Dashboard!$B$18:$B$39,MATCH(C380,Dashboard!$A$18:$A$39,0)),""))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IF(OR(C381="",B381&lt;&gt;"Pengeluaran"),"",IFERROR(INDEX(Dashboard!$B$18:$B$39,MATCH(C381,Dashboard!$A$18:$A$39,0)),""))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IF(OR(C382="",B382&lt;&gt;"Pengeluaran"),"",IFERROR(INDEX(Dashboard!$B$18:$B$39,MATCH(C382,Dashboard!$A$18:$A$39,0)),""))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IF(OR(C383="",B383&lt;&gt;"Pengeluaran"),"",IFERROR(INDEX(Dashboard!$B$18:$B$39,MATCH(C383,Dashboard!$A$18:$A$39,0)),""))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IF(OR(C384="",B384&lt;&gt;"Pengeluaran"),"",IFERROR(INDEX(Dashboard!$B$18:$B$39,MATCH(C384,Dashboard!$A$18:$A$39,0)),""))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IF(OR(C385="",B385&lt;&gt;"Pengeluaran"),"",IFERROR(INDEX(Dashboard!$B$18:$B$39,MATCH(C385,Dashboard!$A$18:$A$39,0)),""))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IF(OR(C386="",B386&lt;&gt;"Pengeluaran"),"",IFERROR(INDEX(Dashboard!$B$18:$B$39,MATCH(C386,Dashboard!$A$18:$A$39,0)),""))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IF(OR(C387="",B387&lt;&gt;"Pengeluaran"),"",IFERROR(INDEX(Dashboard!$B$18:$B$39,MATCH(C387,Dashboard!$A$18:$A$39,0)),""))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IF(OR(C388="",B388&lt;&gt;"Pengeluaran"),"",IFERROR(INDEX(Dashboard!$B$18:$B$39,MATCH(C388,Dashboard!$A$18:$A$39,0)),""))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IF(OR(C389="",B389&lt;&gt;"Pengeluaran"),"",IFERROR(INDEX(Dashboard!$B$18:$B$39,MATCH(C389,Dashboard!$A$18:$A$39,0)),""))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IF(OR(C390="",B390&lt;&gt;"Pengeluaran"),"",IFERROR(INDEX(Dashboard!$B$18:$B$39,MATCH(C390,Dashboard!$A$18:$A$39,0)),""))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IF(OR(C391="",B391&lt;&gt;"Pengeluaran"),"",IFERROR(INDEX(Dashboard!$B$18:$B$39,MATCH(C391,Dashboard!$A$18:$A$39,0)),""))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IF(OR(C392="",B392&lt;&gt;"Pengeluaran"),"",IFERROR(INDEX(Dashboard!$B$18:$B$39,MATCH(C392,Dashboard!$A$18:$A$39,0)),""))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IF(OR(C393="",B393&lt;&gt;"Pengeluaran"),"",IFERROR(INDEX(Dashboard!$B$18:$B$39,MATCH(C393,Dashboard!$A$18:$A$39,0)),""))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IF(OR(C394="",B394&lt;&gt;"Pengeluaran"),"",IFERROR(INDEX(Dashboard!$B$18:$B$39,MATCH(C394,Dashboard!$A$18:$A$39,0)),""))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IF(OR(C395="",B395&lt;&gt;"Pengeluaran"),"",IFERROR(INDEX(Dashboard!$B$18:$B$39,MATCH(C395,Dashboard!$A$18:$A$39,0)),""))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IF(OR(C396="",B396&lt;&gt;"Pengeluaran"),"",IFERROR(INDEX(Dashboard!$B$18:$B$39,MATCH(C396,Dashboard!$A$18:$A$39,0)),""))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IF(OR(C397="",B397&lt;&gt;"Pengeluaran"),"",IFERROR(INDEX(Dashboard!$B$18:$B$39,MATCH(C397,Dashboard!$A$18:$A$39,0)),""))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IF(OR(C398="",B398&lt;&gt;"Pengeluaran"),"",IFERROR(INDEX(Dashboard!$B$18:$B$39,MATCH(C398,Dashboard!$A$18:$A$39,0)),""))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IF(OR(C399="",B399&lt;&gt;"Pengeluaran"),"",IFERROR(INDEX(Dashboard!$B$18:$B$39,MATCH(C399,Dashboard!$A$18:$A$39,0)),""))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IF(OR(C400="",B400&lt;&gt;"Pengeluaran"),"",IFERROR(INDEX(Dashboard!$B$18:$B$39,MATCH(C400,Dashboard!$A$18:$A$39,0)),""))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IF(OR(C401="",B401&lt;&gt;"Pengeluaran"),"",IFERROR(INDEX(Dashboard!$B$18:$B$39,MATCH(C401,Dashboard!$A$18:$A$39,0)),""))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IF(OR(C402="",B402&lt;&gt;"Pengeluaran"),"",IFERROR(INDEX(Dashboard!$B$18:$B$39,MATCH(C402,Dashboard!$A$18:$A$39,0)),""))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IF(OR(C403="",B403&lt;&gt;"Pengeluaran"),"",IFERROR(INDEX(Dashboard!$B$18:$B$39,MATCH(C403,Dashboard!$A$18:$A$39,0)),""))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IF(OR(C404="",B404&lt;&gt;"Pengeluaran"),"",IFERROR(INDEX(Dashboard!$B$18:$B$39,MATCH(C404,Dashboard!$A$18:$A$39,0)),""))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IF(OR(C405="",B405&lt;&gt;"Pengeluaran"),"",IFERROR(INDEX(Dashboard!$B$18:$B$39,MATCH(C405,Dashboard!$A$18:$A$39,0)),""))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IF(OR(C406="",B406&lt;&gt;"Pengeluaran"),"",IFERROR(INDEX(Dashboard!$B$18:$B$39,MATCH(C406,Dashboard!$A$18:$A$39,0)),""))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IF(OR(C407="",B407&lt;&gt;"Pengeluaran"),"",IFERROR(INDEX(Dashboard!$B$18:$B$39,MATCH(C407,Dashboard!$A$18:$A$39,0)),""))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IF(OR(C408="",B408&lt;&gt;"Pengeluaran"),"",IFERROR(INDEX(Dashboard!$B$18:$B$39,MATCH(C408,Dashboard!$A$18:$A$39,0)),""))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IF(OR(C409="",B409&lt;&gt;"Pengeluaran"),"",IFERROR(INDEX(Dashboard!$B$18:$B$39,MATCH(C409,Dashboard!$A$18:$A$39,0)),""))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IF(OR(C410="",B410&lt;&gt;"Pengeluaran"),"",IFERROR(INDEX(Dashboard!$B$18:$B$39,MATCH(C410,Dashboard!$A$18:$A$39,0)),""))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IF(OR(C411="",B411&lt;&gt;"Pengeluaran"),"",IFERROR(INDEX(Dashboard!$B$18:$B$39,MATCH(C411,Dashboard!$A$18:$A$39,0)),""))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IF(OR(C412="",B412&lt;&gt;"Pengeluaran"),"",IFERROR(INDEX(Dashboard!$B$18:$B$39,MATCH(C412,Dashboard!$A$18:$A$39,0)),""))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IF(OR(C413="",B413&lt;&gt;"Pengeluaran"),"",IFERROR(INDEX(Dashboard!$B$18:$B$39,MATCH(C413,Dashboard!$A$18:$A$39,0)),""))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IF(OR(C414="",B414&lt;&gt;"Pengeluaran"),"",IFERROR(INDEX(Dashboard!$B$18:$B$39,MATCH(C414,Dashboard!$A$18:$A$39,0)),""))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IF(OR(C415="",B415&lt;&gt;"Pengeluaran"),"",IFERROR(INDEX(Dashboard!$B$18:$B$39,MATCH(C415,Dashboard!$A$18:$A$39,0)),""))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IF(OR(C416="",B416&lt;&gt;"Pengeluaran"),"",IFERROR(INDEX(Dashboard!$B$18:$B$39,MATCH(C416,Dashboard!$A$18:$A$39,0)),""))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IF(OR(C417="",B417&lt;&gt;"Pengeluaran"),"",IFERROR(INDEX(Dashboard!$B$18:$B$39,MATCH(C417,Dashboard!$A$18:$A$39,0)),""))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IF(OR(C418="",B418&lt;&gt;"Pengeluaran"),"",IFERROR(INDEX(Dashboard!$B$18:$B$39,MATCH(C418,Dashboard!$A$18:$A$39,0)),""))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IF(OR(C419="",B419&lt;&gt;"Pengeluaran"),"",IFERROR(INDEX(Dashboard!$B$18:$B$39,MATCH(C419,Dashboard!$A$18:$A$39,0)),""))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IF(OR(C420="",B420&lt;&gt;"Pengeluaran"),"",IFERROR(INDEX(Dashboard!$B$18:$B$39,MATCH(C420,Dashboard!$A$18:$A$39,0)),""))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IF(OR(C421="",B421&lt;&gt;"Pengeluaran"),"",IFERROR(INDEX(Dashboard!$B$18:$B$39,MATCH(C421,Dashboard!$A$18:$A$39,0)),""))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IF(OR(C422="",B422&lt;&gt;"Pengeluaran"),"",IFERROR(INDEX(Dashboard!$B$18:$B$39,MATCH(C422,Dashboard!$A$18:$A$39,0)),""))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IF(OR(C423="",B423&lt;&gt;"Pengeluaran"),"",IFERROR(INDEX(Dashboard!$B$18:$B$39,MATCH(C423,Dashboard!$A$18:$A$39,0)),""))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IF(OR(C424="",B424&lt;&gt;"Pengeluaran"),"",IFERROR(INDEX(Dashboard!$B$18:$B$39,MATCH(C424,Dashboard!$A$18:$A$39,0)),""))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IF(OR(C425="",B425&lt;&gt;"Pengeluaran"),"",IFERROR(INDEX(Dashboard!$B$18:$B$39,MATCH(C425,Dashboard!$A$18:$A$39,0)),""))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IF(OR(C426="",B426&lt;&gt;"Pengeluaran"),"",IFERROR(INDEX(Dashboard!$B$18:$B$39,MATCH(C426,Dashboard!$A$18:$A$39,0)),""))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IF(OR(C427="",B427&lt;&gt;"Pengeluaran"),"",IFERROR(INDEX(Dashboard!$B$18:$B$39,MATCH(C427,Dashboard!$A$18:$A$39,0)),""))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IF(OR(C428="",B428&lt;&gt;"Pengeluaran"),"",IFERROR(INDEX(Dashboard!$B$18:$B$39,MATCH(C428,Dashboard!$A$18:$A$39,0)),""))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IF(OR(C429="",B429&lt;&gt;"Pengeluaran"),"",IFERROR(INDEX(Dashboard!$B$18:$B$39,MATCH(C429,Dashboard!$A$18:$A$39,0)),""))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IF(OR(C430="",B430&lt;&gt;"Pengeluaran"),"",IFERROR(INDEX(Dashboard!$B$18:$B$39,MATCH(C430,Dashboard!$A$18:$A$39,0)),""))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IF(OR(C431="",B431&lt;&gt;"Pengeluaran"),"",IFERROR(INDEX(Dashboard!$B$18:$B$39,MATCH(C431,Dashboard!$A$18:$A$39,0)),""))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IF(OR(C432="",B432&lt;&gt;"Pengeluaran"),"",IFERROR(INDEX(Dashboard!$B$18:$B$39,MATCH(C432,Dashboard!$A$18:$A$39,0)),""))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IF(OR(C433="",B433&lt;&gt;"Pengeluaran"),"",IFERROR(INDEX(Dashboard!$B$18:$B$39,MATCH(C433,Dashboard!$A$18:$A$39,0)),""))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IF(OR(C434="",B434&lt;&gt;"Pengeluaran"),"",IFERROR(INDEX(Dashboard!$B$18:$B$39,MATCH(C434,Dashboard!$A$18:$A$39,0)),""))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IF(OR(C435="",B435&lt;&gt;"Pengeluaran"),"",IFERROR(INDEX(Dashboard!$B$18:$B$39,MATCH(C435,Dashboard!$A$18:$A$39,0)),""))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IF(OR(C436="",B436&lt;&gt;"Pengeluaran"),"",IFERROR(INDEX(Dashboard!$B$18:$B$39,MATCH(C436,Dashboard!$A$18:$A$39,0)),""))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IF(OR(C437="",B437&lt;&gt;"Pengeluaran"),"",IFERROR(INDEX(Dashboard!$B$18:$B$39,MATCH(C437,Dashboard!$A$18:$A$39,0)),""))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IF(OR(C438="",B438&lt;&gt;"Pengeluaran"),"",IFERROR(INDEX(Dashboard!$B$18:$B$39,MATCH(C438,Dashboard!$A$18:$A$39,0)),""))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IF(OR(C439="",B439&lt;&gt;"Pengeluaran"),"",IFERROR(INDEX(Dashboard!$B$18:$B$39,MATCH(C439,Dashboard!$A$18:$A$39,0)),""))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IF(OR(C440="",B440&lt;&gt;"Pengeluaran"),"",IFERROR(INDEX(Dashboard!$B$18:$B$39,MATCH(C440,Dashboard!$A$18:$A$39,0)),""))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IF(OR(C441="",B441&lt;&gt;"Pengeluaran"),"",IFERROR(INDEX(Dashboard!$B$18:$B$39,MATCH(C441,Dashboard!$A$18:$A$39,0)),""))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IF(OR(C442="",B442&lt;&gt;"Pengeluaran"),"",IFERROR(INDEX(Dashboard!$B$18:$B$39,MATCH(C442,Dashboard!$A$18:$A$39,0)),""))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IF(OR(C443="",B443&lt;&gt;"Pengeluaran"),"",IFERROR(INDEX(Dashboard!$B$18:$B$39,MATCH(C443,Dashboard!$A$18:$A$39,0)),""))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IF(OR(C444="",B444&lt;&gt;"Pengeluaran"),"",IFERROR(INDEX(Dashboard!$B$18:$B$39,MATCH(C444,Dashboard!$A$18:$A$39,0)),""))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IF(OR(C445="",B445&lt;&gt;"Pengeluaran"),"",IFERROR(INDEX(Dashboard!$B$18:$B$39,MATCH(C445,Dashboard!$A$18:$A$39,0)),""))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IF(OR(C446="",B446&lt;&gt;"Pengeluaran"),"",IFERROR(INDEX(Dashboard!$B$18:$B$39,MATCH(C446,Dashboard!$A$18:$A$39,0)),""))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IF(OR(C447="",B447&lt;&gt;"Pengeluaran"),"",IFERROR(INDEX(Dashboard!$B$18:$B$39,MATCH(C447,Dashboard!$A$18:$A$39,0)),""))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IF(OR(C448="",B448&lt;&gt;"Pengeluaran"),"",IFERROR(INDEX(Dashboard!$B$18:$B$39,MATCH(C448,Dashboard!$A$18:$A$39,0)),""))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IF(OR(C449="",B449&lt;&gt;"Pengeluaran"),"",IFERROR(INDEX(Dashboard!$B$18:$B$39,MATCH(C449,Dashboard!$A$18:$A$39,0)),""))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IF(OR(C450="",B450&lt;&gt;"Pengeluaran"),"",IFERROR(INDEX(Dashboard!$B$18:$B$39,MATCH(C450,Dashboard!$A$18:$A$39,0)),""))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IF(OR(C451="",B451&lt;&gt;"Pengeluaran"),"",IFERROR(INDEX(Dashboard!$B$18:$B$39,MATCH(C451,Dashboard!$A$18:$A$39,0)),""))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IF(OR(C452="",B452&lt;&gt;"Pengeluaran"),"",IFERROR(INDEX(Dashboard!$B$18:$B$39,MATCH(C452,Dashboard!$A$18:$A$39,0)),""))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IF(OR(C453="",B453&lt;&gt;"Pengeluaran"),"",IFERROR(INDEX(Dashboard!$B$18:$B$39,MATCH(C453,Dashboard!$A$18:$A$39,0)),""))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IF(OR(C454="",B454&lt;&gt;"Pengeluaran"),"",IFERROR(INDEX(Dashboard!$B$18:$B$39,MATCH(C454,Dashboard!$A$18:$A$39,0)),""))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IF(OR(C455="",B455&lt;&gt;"Pengeluaran"),"",IFERROR(INDEX(Dashboard!$B$18:$B$39,MATCH(C455,Dashboard!$A$18:$A$39,0)),""))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IF(OR(C456="",B456&lt;&gt;"Pengeluaran"),"",IFERROR(INDEX(Dashboard!$B$18:$B$39,MATCH(C456,Dashboard!$A$18:$A$39,0)),""))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IF(OR(C457="",B457&lt;&gt;"Pengeluaran"),"",IFERROR(INDEX(Dashboard!$B$18:$B$39,MATCH(C457,Dashboard!$A$18:$A$39,0)),""))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IF(OR(C458="",B458&lt;&gt;"Pengeluaran"),"",IFERROR(INDEX(Dashboard!$B$18:$B$39,MATCH(C458,Dashboard!$A$18:$A$39,0)),""))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IF(OR(C459="",B459&lt;&gt;"Pengeluaran"),"",IFERROR(INDEX(Dashboard!$B$18:$B$39,MATCH(C459,Dashboard!$A$18:$A$39,0)),""))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IF(OR(C460="",B460&lt;&gt;"Pengeluaran"),"",IFERROR(INDEX(Dashboard!$B$18:$B$39,MATCH(C460,Dashboard!$A$18:$A$39,0)),""))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IF(OR(C461="",B461&lt;&gt;"Pengeluaran"),"",IFERROR(INDEX(Dashboard!$B$18:$B$39,MATCH(C461,Dashboard!$A$18:$A$39,0)),""))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IF(OR(C462="",B462&lt;&gt;"Pengeluaran"),"",IFERROR(INDEX(Dashboard!$B$18:$B$39,MATCH(C462,Dashboard!$A$18:$A$39,0)),""))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IF(OR(C463="",B463&lt;&gt;"Pengeluaran"),"",IFERROR(INDEX(Dashboard!$B$18:$B$39,MATCH(C463,Dashboard!$A$18:$A$39,0)),""))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IF(OR(C464="",B464&lt;&gt;"Pengeluaran"),"",IFERROR(INDEX(Dashboard!$B$18:$B$39,MATCH(C464,Dashboard!$A$18:$A$39,0)),""))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IF(OR(C465="",B465&lt;&gt;"Pengeluaran"),"",IFERROR(INDEX(Dashboard!$B$18:$B$39,MATCH(C465,Dashboard!$A$18:$A$39,0)),""))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IF(OR(C466="",B466&lt;&gt;"Pengeluaran"),"",IFERROR(INDEX(Dashboard!$B$18:$B$39,MATCH(C466,Dashboard!$A$18:$A$39,0)),""))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IF(OR(C467="",B467&lt;&gt;"Pengeluaran"),"",IFERROR(INDEX(Dashboard!$B$18:$B$39,MATCH(C467,Dashboard!$A$18:$A$39,0)),""))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IF(OR(C468="",B468&lt;&gt;"Pengeluaran"),"",IFERROR(INDEX(Dashboard!$B$18:$B$39,MATCH(C468,Dashboard!$A$18:$A$39,0)),""))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IF(OR(C469="",B469&lt;&gt;"Pengeluaran"),"",IFERROR(INDEX(Dashboard!$B$18:$B$39,MATCH(C469,Dashboard!$A$18:$A$39,0)),""))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IF(OR(C470="",B470&lt;&gt;"Pengeluaran"),"",IFERROR(INDEX(Dashboard!$B$18:$B$39,MATCH(C470,Dashboard!$A$18:$A$39,0)),""))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IF(OR(C471="",B471&lt;&gt;"Pengeluaran"),"",IFERROR(INDEX(Dashboard!$B$18:$B$39,MATCH(C471,Dashboard!$A$18:$A$39,0)),""))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IF(OR(C472="",B472&lt;&gt;"Pengeluaran"),"",IFERROR(INDEX(Dashboard!$B$18:$B$39,MATCH(C472,Dashboard!$A$18:$A$39,0)),""))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IF(OR(C473="",B473&lt;&gt;"Pengeluaran"),"",IFERROR(INDEX(Dashboard!$B$18:$B$39,MATCH(C473,Dashboard!$A$18:$A$39,0)),""))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IF(OR(C474="",B474&lt;&gt;"Pengeluaran"),"",IFERROR(INDEX(Dashboard!$B$18:$B$39,MATCH(C474,Dashboard!$A$18:$A$39,0)),""))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IF(OR(C475="",B475&lt;&gt;"Pengeluaran"),"",IFERROR(INDEX(Dashboard!$B$18:$B$39,MATCH(C475,Dashboard!$A$18:$A$39,0)),""))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IF(OR(C476="",B476&lt;&gt;"Pengeluaran"),"",IFERROR(INDEX(Dashboard!$B$18:$B$39,MATCH(C476,Dashboard!$A$18:$A$39,0)),""))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IF(OR(C477="",B477&lt;&gt;"Pengeluaran"),"",IFERROR(INDEX(Dashboard!$B$18:$B$39,MATCH(C477,Dashboard!$A$18:$A$39,0)),""))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IF(OR(C478="",B478&lt;&gt;"Pengeluaran"),"",IFERROR(INDEX(Dashboard!$B$18:$B$39,MATCH(C478,Dashboard!$A$18:$A$39,0)),""))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IF(OR(C479="",B479&lt;&gt;"Pengeluaran"),"",IFERROR(INDEX(Dashboard!$B$18:$B$39,MATCH(C479,Dashboard!$A$18:$A$39,0)),""))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IF(OR(C480="",B480&lt;&gt;"Pengeluaran"),"",IFERROR(INDEX(Dashboard!$B$18:$B$39,MATCH(C480,Dashboard!$A$18:$A$39,0)),""))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IF(OR(C481="",B481&lt;&gt;"Pengeluaran"),"",IFERROR(INDEX(Dashboard!$B$18:$B$39,MATCH(C481,Dashboard!$A$18:$A$39,0)),""))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IF(OR(C482="",B482&lt;&gt;"Pengeluaran"),"",IFERROR(INDEX(Dashboard!$B$18:$B$39,MATCH(C482,Dashboard!$A$18:$A$39,0)),""))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IF(OR(C483="",B483&lt;&gt;"Pengeluaran"),"",IFERROR(INDEX(Dashboard!$B$18:$B$39,MATCH(C483,Dashboard!$A$18:$A$39,0)),""))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IF(OR(C484="",B484&lt;&gt;"Pengeluaran"),"",IFERROR(INDEX(Dashboard!$B$18:$B$39,MATCH(C484,Dashboard!$A$18:$A$39,0)),""))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IF(OR(C485="",B485&lt;&gt;"Pengeluaran"),"",IFERROR(INDEX(Dashboard!$B$18:$B$39,MATCH(C485,Dashboard!$A$18:$A$39,0)),""))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IF(OR(C486="",B486&lt;&gt;"Pengeluaran"),"",IFERROR(INDEX(Dashboard!$B$18:$B$39,MATCH(C486,Dashboard!$A$18:$A$39,0)),""))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IF(OR(C487="",B487&lt;&gt;"Pengeluaran"),"",IFERROR(INDEX(Dashboard!$B$18:$B$39,MATCH(C487,Dashboard!$A$18:$A$39,0)),""))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IF(OR(C488="",B488&lt;&gt;"Pengeluaran"),"",IFERROR(INDEX(Dashboard!$B$18:$B$39,MATCH(C488,Dashboard!$A$18:$A$39,0)),""))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IF(OR(C489="",B489&lt;&gt;"Pengeluaran"),"",IFERROR(INDEX(Dashboard!$B$18:$B$39,MATCH(C489,Dashboard!$A$18:$A$39,0)),""))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IF(OR(C490="",B490&lt;&gt;"Pengeluaran"),"",IFERROR(INDEX(Dashboard!$B$18:$B$39,MATCH(C490,Dashboard!$A$18:$A$39,0)),""))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IF(OR(C491="",B491&lt;&gt;"Pengeluaran"),"",IFERROR(INDEX(Dashboard!$B$18:$B$39,MATCH(C491,Dashboard!$A$18:$A$39,0)),""))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IF(OR(C492="",B492&lt;&gt;"Pengeluaran"),"",IFERROR(INDEX(Dashboard!$B$18:$B$39,MATCH(C492,Dashboard!$A$18:$A$39,0)),""))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IF(OR(C493="",B493&lt;&gt;"Pengeluaran"),"",IFERROR(INDEX(Dashboard!$B$18:$B$39,MATCH(C493,Dashboard!$A$18:$A$39,0)),""))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IF(OR(C494="",B494&lt;&gt;"Pengeluaran"),"",IFERROR(INDEX(Dashboard!$B$18:$B$39,MATCH(C494,Dashboard!$A$18:$A$39,0)),""))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IF(OR(C495="",B495&lt;&gt;"Pengeluaran"),"",IFERROR(INDEX(Dashboard!$B$18:$B$39,MATCH(C495,Dashboard!$A$18:$A$39,0)),""))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IF(OR(C496="",B496&lt;&gt;"Pengeluaran"),"",IFERROR(INDEX(Dashboard!$B$18:$B$39,MATCH(C496,Dashboard!$A$18:$A$39,0)),""))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IF(OR(C497="",B497&lt;&gt;"Pengeluaran"),"",IFERROR(INDEX(Dashboard!$B$18:$B$39,MATCH(C497,Dashboard!$A$18:$A$39,0)),""))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IF(OR(C498="",B498&lt;&gt;"Pengeluaran"),"",IFERROR(INDEX(Dashboard!$B$18:$B$39,MATCH(C498,Dashboard!$A$18:$A$39,0)),""))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IF(OR(C499="",B499&lt;&gt;"Pengeluaran"),"",IFERROR(INDEX(Dashboard!$B$18:$B$39,MATCH(C499,Dashboard!$A$18:$A$39,0)),""))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IF(OR(C500="",B500&lt;&gt;"Pengeluaran"),"",IFERROR(INDEX(Dashboard!$B$18:$B$39,MATCH(C500,Dashboard!$A$18:$A$39,0)),""))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IF(OR(C501="",B501&lt;&gt;"Pengeluaran"),"",IFERROR(INDEX(Dashboard!$B$18:$B$39,MATCH(C501,Dashboard!$A$18:$A$39,0)),""))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IF(OR(C502="",B502&lt;&gt;"Pengeluaran"),"",IFERROR(INDEX(Dashboard!$B$18:$B$39,MATCH(C502,Dashboard!$A$18:$A$39,0)),""))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IF(OR(C503="",B503&lt;&gt;"Pengeluaran"),"",IFERROR(INDEX(Dashboard!$B$18:$B$39,MATCH(C503,Dashboard!$A$18:$A$39,0)),""))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IF(OR(C504="",B504&lt;&gt;"Pengeluaran"),"",IFERROR(INDEX(Dashboard!$B$18:$B$39,MATCH(C504,Dashboard!$A$18:$A$39,0)),""))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IF(OR(C505="",B505&lt;&gt;"Pengeluaran"),"",IFERROR(INDEX(Dashboard!$B$18:$B$39,MATCH(C505,Dashboard!$A$18:$A$39,0)),""))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IF(OR(C506="",B506&lt;&gt;"Pengeluaran"),"",IFERROR(INDEX(Dashboard!$B$18:$B$39,MATCH(C506,Dashboard!$A$18:$A$39,0)),""))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IF(OR(C507="",B507&lt;&gt;"Pengeluaran"),"",IFERROR(INDEX(Dashboard!$B$18:$B$39,MATCH(C507,Dashboard!$A$18:$A$39,0)),""))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IF(OR(C508="",B508&lt;&gt;"Pengeluaran"),"",IFERROR(INDEX(Dashboard!$B$18:$B$39,MATCH(C508,Dashboard!$A$18:$A$39,0)),""))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IF(OR(C509="",B509&lt;&gt;"Pengeluaran"),"",IFERROR(INDEX(Dashboard!$B$18:$B$39,MATCH(C509,Dashboard!$A$18:$A$39,0)),""))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IF(OR(C510="",B510&lt;&gt;"Pengeluaran"),"",IFERROR(INDEX(Dashboard!$B$18:$B$39,MATCH(C510,Dashboard!$A$18:$A$39,0)),""))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IF(OR(C511="",B511&lt;&gt;"Pengeluaran"),"",IFERROR(INDEX(Dashboard!$B$18:$B$39,MATCH(C511,Dashboard!$A$18:$A$39,0)),""))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IF(OR(C512="",B512&lt;&gt;"Pengeluaran"),"",IFERROR(INDEX(Dashboard!$B$18:$B$39,MATCH(C512,Dashboard!$A$18:$A$39,0)),""))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IF(OR(C513="",B513&lt;&gt;"Pengeluaran"),"",IFERROR(INDEX(Dashboard!$B$18:$B$39,MATCH(C513,Dashboard!$A$18:$A$39,0)),""))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IF(OR(C514="",B514&lt;&gt;"Pengeluaran"),"",IFERROR(INDEX(Dashboard!$B$18:$B$39,MATCH(C514,Dashboard!$A$18:$A$39,0)),""))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IF(OR(C515="",B515&lt;&gt;"Pengeluaran"),"",IFERROR(INDEX(Dashboard!$B$18:$B$39,MATCH(C515,Dashboard!$A$18:$A$39,0)),""))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IF(OR(C516="",B516&lt;&gt;"Pengeluaran"),"",IFERROR(INDEX(Dashboard!$B$18:$B$39,MATCH(C516,Dashboard!$A$18:$A$39,0)),""))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IF(OR(C517="",B517&lt;&gt;"Pengeluaran"),"",IFERROR(INDEX(Dashboard!$B$18:$B$39,MATCH(C517,Dashboard!$A$18:$A$39,0)),""))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IF(OR(C518="",B518&lt;&gt;"Pengeluaran"),"",IFERROR(INDEX(Dashboard!$B$18:$B$39,MATCH(C518,Dashboard!$A$18:$A$39,0)),""))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IF(OR(C519="",B519&lt;&gt;"Pengeluaran"),"",IFERROR(INDEX(Dashboard!$B$18:$B$39,MATCH(C519,Dashboard!$A$18:$A$39,0)),""))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IF(OR(C520="",B520&lt;&gt;"Pengeluaran"),"",IFERROR(INDEX(Dashboard!$B$18:$B$39,MATCH(C520,Dashboard!$A$18:$A$39,0)),""))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IF(OR(C521="",B521&lt;&gt;"Pengeluaran"),"",IFERROR(INDEX(Dashboard!$B$18:$B$39,MATCH(C521,Dashboard!$A$18:$A$39,0)),""))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IF(OR(C522="",B522&lt;&gt;"Pengeluaran"),"",IFERROR(INDEX(Dashboard!$B$18:$B$39,MATCH(C522,Dashboard!$A$18:$A$39,0)),""))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IF(OR(C523="",B523&lt;&gt;"Pengeluaran"),"",IFERROR(INDEX(Dashboard!$B$18:$B$39,MATCH(C523,Dashboard!$A$18:$A$39,0)),""))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IF(OR(C524="",B524&lt;&gt;"Pengeluaran"),"",IFERROR(INDEX(Dashboard!$B$18:$B$39,MATCH(C524,Dashboard!$A$18:$A$39,0)),""))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IF(OR(C525="",B525&lt;&gt;"Pengeluaran"),"",IFERROR(INDEX(Dashboard!$B$18:$B$39,MATCH(C525,Dashboard!$A$18:$A$39,0)),""))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IF(OR(C526="",B526&lt;&gt;"Pengeluaran"),"",IFERROR(INDEX(Dashboard!$B$18:$B$39,MATCH(C526,Dashboard!$A$18:$A$39,0)),""))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IF(OR(C527="",B527&lt;&gt;"Pengeluaran"),"",IFERROR(INDEX(Dashboard!$B$18:$B$39,MATCH(C527,Dashboard!$A$18:$A$39,0)),""))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IF(OR(C528="",B528&lt;&gt;"Pengeluaran"),"",IFERROR(INDEX(Dashboard!$B$18:$B$39,MATCH(C528,Dashboard!$A$18:$A$39,0)),""))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IF(OR(C529="",B529&lt;&gt;"Pengeluaran"),"",IFERROR(INDEX(Dashboard!$B$18:$B$39,MATCH(C529,Dashboard!$A$18:$A$39,0)),""))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IF(OR(C530="",B530&lt;&gt;"Pengeluaran"),"",IFERROR(INDEX(Dashboard!$B$18:$B$39,MATCH(C530,Dashboard!$A$18:$A$39,0)),""))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IF(OR(C531="",B531&lt;&gt;"Pengeluaran"),"",IFERROR(INDEX(Dashboard!$B$18:$B$39,MATCH(C531,Dashboard!$A$18:$A$39,0)),""))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IF(OR(C532="",B532&lt;&gt;"Pengeluaran"),"",IFERROR(INDEX(Dashboard!$B$18:$B$39,MATCH(C532,Dashboard!$A$18:$A$39,0)),""))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IF(OR(C533="",B533&lt;&gt;"Pengeluaran"),"",IFERROR(INDEX(Dashboard!$B$18:$B$39,MATCH(C533,Dashboard!$A$18:$A$39,0)),""))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IF(OR(C534="",B534&lt;&gt;"Pengeluaran"),"",IFERROR(INDEX(Dashboard!$B$18:$B$39,MATCH(C534,Dashboard!$A$18:$A$39,0)),""))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IF(OR(C535="",B535&lt;&gt;"Pengeluaran"),"",IFERROR(INDEX(Dashboard!$B$18:$B$39,MATCH(C535,Dashboard!$A$18:$A$39,0)),""))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IF(OR(C536="",B536&lt;&gt;"Pengeluaran"),"",IFERROR(INDEX(Dashboard!$B$18:$B$39,MATCH(C536,Dashboard!$A$18:$A$39,0)),""))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IF(OR(C537="",B537&lt;&gt;"Pengeluaran"),"",IFERROR(INDEX(Dashboard!$B$18:$B$39,MATCH(C537,Dashboard!$A$18:$A$39,0)),""))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IF(OR(C538="",B538&lt;&gt;"Pengeluaran"),"",IFERROR(INDEX(Dashboard!$B$18:$B$39,MATCH(C538,Dashboard!$A$18:$A$39,0)),""))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IF(OR(C539="",B539&lt;&gt;"Pengeluaran"),"",IFERROR(INDEX(Dashboard!$B$18:$B$39,MATCH(C539,Dashboard!$A$18:$A$39,0)),""))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IF(OR(C540="",B540&lt;&gt;"Pengeluaran"),"",IFERROR(INDEX(Dashboard!$B$18:$B$39,MATCH(C540,Dashboard!$A$18:$A$39,0)),""))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IF(OR(C541="",B541&lt;&gt;"Pengeluaran"),"",IFERROR(INDEX(Dashboard!$B$18:$B$39,MATCH(C541,Dashboard!$A$18:$A$39,0)),""))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IF(OR(C542="",B542&lt;&gt;"Pengeluaran"),"",IFERROR(INDEX(Dashboard!$B$18:$B$39,MATCH(C542,Dashboard!$A$18:$A$39,0)),""))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IF(OR(C543="",B543&lt;&gt;"Pengeluaran"),"",IFERROR(INDEX(Dashboard!$B$18:$B$39,MATCH(C543,Dashboard!$A$18:$A$39,0)),""))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IF(OR(C544="",B544&lt;&gt;"Pengeluaran"),"",IFERROR(INDEX(Dashboard!$B$18:$B$39,MATCH(C544,Dashboard!$A$18:$A$39,0)),""))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IF(OR(C545="",B545&lt;&gt;"Pengeluaran"),"",IFERROR(INDEX(Dashboard!$B$18:$B$39,MATCH(C545,Dashboard!$A$18:$A$39,0)),""))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IF(OR(C546="",B546&lt;&gt;"Pengeluaran"),"",IFERROR(INDEX(Dashboard!$B$18:$B$39,MATCH(C546,Dashboard!$A$18:$A$39,0)),""))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IF(OR(C547="",B547&lt;&gt;"Pengeluaran"),"",IFERROR(INDEX(Dashboard!$B$18:$B$39,MATCH(C547,Dashboard!$A$18:$A$39,0)),""))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IF(OR(C548="",B548&lt;&gt;"Pengeluaran"),"",IFERROR(INDEX(Dashboard!$B$18:$B$39,MATCH(C548,Dashboard!$A$18:$A$39,0)),""))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IF(OR(C549="",B549&lt;&gt;"Pengeluaran"),"",IFERROR(INDEX(Dashboard!$B$18:$B$39,MATCH(C549,Dashboard!$A$18:$A$39,0)),""))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IF(OR(C550="",B550&lt;&gt;"Pengeluaran"),"",IFERROR(INDEX(Dashboard!$B$18:$B$39,MATCH(C550,Dashboard!$A$18:$A$39,0)),""))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IF(OR(C551="",B551&lt;&gt;"Pengeluaran"),"",IFERROR(INDEX(Dashboard!$B$18:$B$39,MATCH(C551,Dashboard!$A$18:$A$39,0)),""))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IF(OR(C552="",B552&lt;&gt;"Pengeluaran"),"",IFERROR(INDEX(Dashboard!$B$18:$B$39,MATCH(C552,Dashboard!$A$18:$A$39,0)),""))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IF(OR(C553="",B553&lt;&gt;"Pengeluaran"),"",IFERROR(INDEX(Dashboard!$B$18:$B$39,MATCH(C553,Dashboard!$A$18:$A$39,0)),""))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IF(OR(C554="",B554&lt;&gt;"Pengeluaran"),"",IFERROR(INDEX(Dashboard!$B$18:$B$39,MATCH(C554,Dashboard!$A$18:$A$39,0)),""))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IF(OR(C555="",B555&lt;&gt;"Pengeluaran"),"",IFERROR(INDEX(Dashboard!$B$18:$B$39,MATCH(C555,Dashboard!$A$18:$A$39,0)),""))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IF(OR(C556="",B556&lt;&gt;"Pengeluaran"),"",IFERROR(INDEX(Dashboard!$B$18:$B$39,MATCH(C556,Dashboard!$A$18:$A$39,0)),""))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IF(OR(C557="",B557&lt;&gt;"Pengeluaran"),"",IFERROR(INDEX(Dashboard!$B$18:$B$39,MATCH(C557,Dashboard!$A$18:$A$39,0)),""))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IF(OR(C558="",B558&lt;&gt;"Pengeluaran"),"",IFERROR(INDEX(Dashboard!$B$18:$B$39,MATCH(C558,Dashboard!$A$18:$A$39,0)),""))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IF(OR(C559="",B559&lt;&gt;"Pengeluaran"),"",IFERROR(INDEX(Dashboard!$B$18:$B$39,MATCH(C559,Dashboard!$A$18:$A$39,0)),""))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IF(OR(C560="",B560&lt;&gt;"Pengeluaran"),"",IFERROR(INDEX(Dashboard!$B$18:$B$39,MATCH(C560,Dashboard!$A$18:$A$39,0)),""))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IF(OR(C561="",B561&lt;&gt;"Pengeluaran"),"",IFERROR(INDEX(Dashboard!$B$18:$B$39,MATCH(C561,Dashboard!$A$18:$A$39,0)),""))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IF(OR(C562="",B562&lt;&gt;"Pengeluaran"),"",IFERROR(INDEX(Dashboard!$B$18:$B$39,MATCH(C562,Dashboard!$A$18:$A$39,0)),""))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IF(OR(C563="",B563&lt;&gt;"Pengeluaran"),"",IFERROR(INDEX(Dashboard!$B$18:$B$39,MATCH(C563,Dashboard!$A$18:$A$39,0)),""))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IF(OR(C564="",B564&lt;&gt;"Pengeluaran"),"",IFERROR(INDEX(Dashboard!$B$18:$B$39,MATCH(C564,Dashboard!$A$18:$A$39,0)),""))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IF(OR(C565="",B565&lt;&gt;"Pengeluaran"),"",IFERROR(INDEX(Dashboard!$B$18:$B$39,MATCH(C565,Dashboard!$A$18:$A$39,0)),""))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IF(OR(C566="",B566&lt;&gt;"Pengeluaran"),"",IFERROR(INDEX(Dashboard!$B$18:$B$39,MATCH(C566,Dashboard!$A$18:$A$39,0)),""))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IF(OR(C567="",B567&lt;&gt;"Pengeluaran"),"",IFERROR(INDEX(Dashboard!$B$18:$B$39,MATCH(C567,Dashboard!$A$18:$A$39,0)),""))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IF(OR(C568="",B568&lt;&gt;"Pengeluaran"),"",IFERROR(INDEX(Dashboard!$B$18:$B$39,MATCH(C568,Dashboard!$A$18:$A$39,0)),""))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IF(OR(C569="",B569&lt;&gt;"Pengeluaran"),"",IFERROR(INDEX(Dashboard!$B$18:$B$39,MATCH(C569,Dashboard!$A$18:$A$39,0)),""))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IF(OR(C570="",B570&lt;&gt;"Pengeluaran"),"",IFERROR(INDEX(Dashboard!$B$18:$B$39,MATCH(C570,Dashboard!$A$18:$A$39,0)),""))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IF(OR(C571="",B571&lt;&gt;"Pengeluaran"),"",IFERROR(INDEX(Dashboard!$B$18:$B$39,MATCH(C571,Dashboard!$A$18:$A$39,0)),""))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IF(OR(C572="",B572&lt;&gt;"Pengeluaran"),"",IFERROR(INDEX(Dashboard!$B$18:$B$39,MATCH(C572,Dashboard!$A$18:$A$39,0)),""))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IF(OR(C573="",B573&lt;&gt;"Pengeluaran"),"",IFERROR(INDEX(Dashboard!$B$18:$B$39,MATCH(C573,Dashboard!$A$18:$A$39,0)),""))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IF(OR(C574="",B574&lt;&gt;"Pengeluaran"),"",IFERROR(INDEX(Dashboard!$B$18:$B$39,MATCH(C574,Dashboard!$A$18:$A$39,0)),""))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IF(OR(C575="",B575&lt;&gt;"Pengeluaran"),"",IFERROR(INDEX(Dashboard!$B$18:$B$39,MATCH(C575,Dashboard!$A$18:$A$39,0)),""))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IF(OR(C576="",B576&lt;&gt;"Pengeluaran"),"",IFERROR(INDEX(Dashboard!$B$18:$B$39,MATCH(C576,Dashboard!$A$18:$A$39,0)),""))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IF(OR(C577="",B577&lt;&gt;"Pengeluaran"),"",IFERROR(INDEX(Dashboard!$B$18:$B$39,MATCH(C577,Dashboard!$A$18:$A$39,0)),""))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IF(OR(C578="",B578&lt;&gt;"Pengeluaran"),"",IFERROR(INDEX(Dashboard!$B$18:$B$39,MATCH(C578,Dashboard!$A$18:$A$39,0)),""))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IF(OR(C579="",B579&lt;&gt;"Pengeluaran"),"",IFERROR(INDEX(Dashboard!$B$18:$B$39,MATCH(C579,Dashboard!$A$18:$A$39,0)),""))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IF(OR(C580="",B580&lt;&gt;"Pengeluaran"),"",IFERROR(INDEX(Dashboard!$B$18:$B$39,MATCH(C580,Dashboard!$A$18:$A$39,0)),""))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IF(OR(C581="",B581&lt;&gt;"Pengeluaran"),"",IFERROR(INDEX(Dashboard!$B$18:$B$39,MATCH(C581,Dashboard!$A$18:$A$39,0)),""))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IF(OR(C582="",B582&lt;&gt;"Pengeluaran"),"",IFERROR(INDEX(Dashboard!$B$18:$B$39,MATCH(C582,Dashboard!$A$18:$A$39,0)),""))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IF(OR(C583="",B583&lt;&gt;"Pengeluaran"),"",IFERROR(INDEX(Dashboard!$B$18:$B$39,MATCH(C583,Dashboard!$A$18:$A$39,0)),""))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IF(OR(C584="",B584&lt;&gt;"Pengeluaran"),"",IFERROR(INDEX(Dashboard!$B$18:$B$39,MATCH(C584,Dashboard!$A$18:$A$39,0)),""))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IF(OR(C585="",B585&lt;&gt;"Pengeluaran"),"",IFERROR(INDEX(Dashboard!$B$18:$B$39,MATCH(C585,Dashboard!$A$18:$A$39,0)),""))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IF(OR(C586="",B586&lt;&gt;"Pengeluaran"),"",IFERROR(INDEX(Dashboard!$B$18:$B$39,MATCH(C586,Dashboard!$A$18:$A$39,0)),""))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IF(OR(C587="",B587&lt;&gt;"Pengeluaran"),"",IFERROR(INDEX(Dashboard!$B$18:$B$39,MATCH(C587,Dashboard!$A$18:$A$39,0)),""))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IF(OR(C588="",B588&lt;&gt;"Pengeluaran"),"",IFERROR(INDEX(Dashboard!$B$18:$B$39,MATCH(C588,Dashboard!$A$18:$A$39,0)),""))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IF(OR(C589="",B589&lt;&gt;"Pengeluaran"),"",IFERROR(INDEX(Dashboard!$B$18:$B$39,MATCH(C589,Dashboard!$A$18:$A$39,0)),""))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IF(OR(C590="",B590&lt;&gt;"Pengeluaran"),"",IFERROR(INDEX(Dashboard!$B$18:$B$39,MATCH(C590,Dashboard!$A$18:$A$39,0)),""))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IF(OR(C591="",B591&lt;&gt;"Pengeluaran"),"",IFERROR(INDEX(Dashboard!$B$18:$B$39,MATCH(C591,Dashboard!$A$18:$A$39,0)),""))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IF(OR(C592="",B592&lt;&gt;"Pengeluaran"),"",IFERROR(INDEX(Dashboard!$B$18:$B$39,MATCH(C592,Dashboard!$A$18:$A$39,0)),""))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IF(OR(C593="",B593&lt;&gt;"Pengeluaran"),"",IFERROR(INDEX(Dashboard!$B$18:$B$39,MATCH(C593,Dashboard!$A$18:$A$39,0)),""))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IF(OR(C594="",B594&lt;&gt;"Pengeluaran"),"",IFERROR(INDEX(Dashboard!$B$18:$B$39,MATCH(C594,Dashboard!$A$18:$A$39,0)),""))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IF(OR(C595="",B595&lt;&gt;"Pengeluaran"),"",IFERROR(INDEX(Dashboard!$B$18:$B$39,MATCH(C595,Dashboard!$A$18:$A$39,0)),""))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IF(OR(C596="",B596&lt;&gt;"Pengeluaran"),"",IFERROR(INDEX(Dashboard!$B$18:$B$39,MATCH(C596,Dashboard!$A$18:$A$39,0)),""))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IF(OR(C597="",B597&lt;&gt;"Pengeluaran"),"",IFERROR(INDEX(Dashboard!$B$18:$B$39,MATCH(C597,Dashboard!$A$18:$A$39,0)),""))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IF(OR(C598="",B598&lt;&gt;"Pengeluaran"),"",IFERROR(INDEX(Dashboard!$B$18:$B$39,MATCH(C598,Dashboard!$A$18:$A$39,0)),""))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IF(OR(C599="",B599&lt;&gt;"Pengeluaran"),"",IFERROR(INDEX(Dashboard!$B$18:$B$39,MATCH(C599,Dashboard!$A$18:$A$39,0)),""))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IF(OR(C600="",B600&lt;&gt;"Pengeluaran"),"",IFERROR(INDEX(Dashboard!$B$18:$B$39,MATCH(C600,Dashboard!$A$18:$A$39,0)),""))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IF(OR(C601="",B601&lt;&gt;"Pengeluaran"),"",IFERROR(INDEX(Dashboard!$B$18:$B$39,MATCH(C601,Dashboard!$A$18:$A$39,0)),""))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IF(OR(C602="",B602&lt;&gt;"Pengeluaran"),"",IFERROR(INDEX(Dashboard!$B$18:$B$39,MATCH(C602,Dashboard!$A$18:$A$39,0)),""))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IF(OR(C603="",B603&lt;&gt;"Pengeluaran"),"",IFERROR(INDEX(Dashboard!$B$18:$B$39,MATCH(C603,Dashboard!$A$18:$A$39,0)),""))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IF(OR(C604="",B604&lt;&gt;"Pengeluaran"),"",IFERROR(INDEX(Dashboard!$B$18:$B$39,MATCH(C604,Dashboard!$A$18:$A$39,0)),""))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IF(OR(C605="",B605&lt;&gt;"Pengeluaran"),"",IFERROR(INDEX(Dashboard!$B$18:$B$39,MATCH(C605,Dashboard!$A$18:$A$39,0)),""))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IF(OR(C606="",B606&lt;&gt;"Pengeluaran"),"",IFERROR(INDEX(Dashboard!$B$18:$B$39,MATCH(C606,Dashboard!$A$18:$A$39,0)),""))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IF(OR(C607="",B607&lt;&gt;"Pengeluaran"),"",IFERROR(INDEX(Dashboard!$B$18:$B$39,MATCH(C607,Dashboard!$A$18:$A$39,0)),""))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IF(OR(C608="",B608&lt;&gt;"Pengeluaran"),"",IFERROR(INDEX(Dashboard!$B$18:$B$39,MATCH(C608,Dashboard!$A$18:$A$39,0)),""))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IF(OR(C609="",B609&lt;&gt;"Pengeluaran"),"",IFERROR(INDEX(Dashboard!$B$18:$B$39,MATCH(C609,Dashboard!$A$18:$A$39,0)),""))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IF(OR(C610="",B610&lt;&gt;"Pengeluaran"),"",IFERROR(INDEX(Dashboard!$B$18:$B$39,MATCH(C610,Dashboard!$A$18:$A$39,0)),""))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IF(OR(C611="",B611&lt;&gt;"Pengeluaran"),"",IFERROR(INDEX(Dashboard!$B$18:$B$39,MATCH(C611,Dashboard!$A$18:$A$39,0)),""))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IF(OR(C612="",B612&lt;&gt;"Pengeluaran"),"",IFERROR(INDEX(Dashboard!$B$18:$B$39,MATCH(C612,Dashboard!$A$18:$A$39,0)),""))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IF(OR(C613="",B613&lt;&gt;"Pengeluaran"),"",IFERROR(INDEX(Dashboard!$B$18:$B$39,MATCH(C613,Dashboard!$A$18:$A$39,0)),""))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IF(OR(C614="",B614&lt;&gt;"Pengeluaran"),"",IFERROR(INDEX(Dashboard!$B$18:$B$39,MATCH(C614,Dashboard!$A$18:$A$39,0)),""))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IF(OR(C615="",B615&lt;&gt;"Pengeluaran"),"",IFERROR(INDEX(Dashboard!$B$18:$B$39,MATCH(C615,Dashboard!$A$18:$A$39,0)),""))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IF(OR(C616="",B616&lt;&gt;"Pengeluaran"),"",IFERROR(INDEX(Dashboard!$B$18:$B$39,MATCH(C616,Dashboard!$A$18:$A$39,0)),""))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IF(OR(C617="",B617&lt;&gt;"Pengeluaran"),"",IFERROR(INDEX(Dashboard!$B$18:$B$39,MATCH(C617,Dashboard!$A$18:$A$39,0)),""))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IF(OR(C618="",B618&lt;&gt;"Pengeluaran"),"",IFERROR(INDEX(Dashboard!$B$18:$B$39,MATCH(C618,Dashboard!$A$18:$A$39,0)),""))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IF(OR(C619="",B619&lt;&gt;"Pengeluaran"),"",IFERROR(INDEX(Dashboard!$B$18:$B$39,MATCH(C619,Dashboard!$A$18:$A$39,0)),""))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IF(OR(C620="",B620&lt;&gt;"Pengeluaran"),"",IFERROR(INDEX(Dashboard!$B$18:$B$39,MATCH(C620,Dashboard!$A$18:$A$39,0)),""))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IF(OR(C621="",B621&lt;&gt;"Pengeluaran"),"",IFERROR(INDEX(Dashboard!$B$18:$B$39,MATCH(C621,Dashboard!$A$18:$A$39,0)),""))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IF(OR(C622="",B622&lt;&gt;"Pengeluaran"),"",IFERROR(INDEX(Dashboard!$B$18:$B$39,MATCH(C622,Dashboard!$A$18:$A$39,0)),""))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IF(OR(C623="",B623&lt;&gt;"Pengeluaran"),"",IFERROR(INDEX(Dashboard!$B$18:$B$39,MATCH(C623,Dashboard!$A$18:$A$39,0)),""))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IF(OR(C624="",B624&lt;&gt;"Pengeluaran"),"",IFERROR(INDEX(Dashboard!$B$18:$B$39,MATCH(C624,Dashboard!$A$18:$A$39,0)),""))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IF(OR(C625="",B625&lt;&gt;"Pengeluaran"),"",IFERROR(INDEX(Dashboard!$B$18:$B$39,MATCH(C625,Dashboard!$A$18:$A$39,0)),""))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IF(OR(C626="",B626&lt;&gt;"Pengeluaran"),"",IFERROR(INDEX(Dashboard!$B$18:$B$39,MATCH(C626,Dashboard!$A$18:$A$39,0)),""))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IF(OR(C627="",B627&lt;&gt;"Pengeluaran"),"",IFERROR(INDEX(Dashboard!$B$18:$B$39,MATCH(C627,Dashboard!$A$18:$A$39,0)),""))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IF(OR(C628="",B628&lt;&gt;"Pengeluaran"),"",IFERROR(INDEX(Dashboard!$B$18:$B$39,MATCH(C628,Dashboard!$A$18:$A$39,0)),""))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IF(OR(C629="",B629&lt;&gt;"Pengeluaran"),"",IFERROR(INDEX(Dashboard!$B$18:$B$39,MATCH(C629,Dashboard!$A$18:$A$39,0)),""))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IF(OR(C630="",B630&lt;&gt;"Pengeluaran"),"",IFERROR(INDEX(Dashboard!$B$18:$B$39,MATCH(C630,Dashboard!$A$18:$A$39,0)),""))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IF(OR(C631="",B631&lt;&gt;"Pengeluaran"),"",IFERROR(INDEX(Dashboard!$B$18:$B$39,MATCH(C631,Dashboard!$A$18:$A$39,0)),""))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IF(OR(C632="",B632&lt;&gt;"Pengeluaran"),"",IFERROR(INDEX(Dashboard!$B$18:$B$39,MATCH(C632,Dashboard!$A$18:$A$39,0)),""))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IF(OR(C633="",B633&lt;&gt;"Pengeluaran"),"",IFERROR(INDEX(Dashboard!$B$18:$B$39,MATCH(C633,Dashboard!$A$18:$A$39,0)),""))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IF(OR(C634="",B634&lt;&gt;"Pengeluaran"),"",IFERROR(INDEX(Dashboard!$B$18:$B$39,MATCH(C634,Dashboard!$A$18:$A$39,0)),""))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IF(OR(C635="",B635&lt;&gt;"Pengeluaran"),"",IFERROR(INDEX(Dashboard!$B$18:$B$39,MATCH(C635,Dashboard!$A$18:$A$39,0)),""))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IF(OR(C636="",B636&lt;&gt;"Pengeluaran"),"",IFERROR(INDEX(Dashboard!$B$18:$B$39,MATCH(C636,Dashboard!$A$18:$A$39,0)),""))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IF(OR(C637="",B637&lt;&gt;"Pengeluaran"),"",IFERROR(INDEX(Dashboard!$B$18:$B$39,MATCH(C637,Dashboard!$A$18:$A$39,0)),""))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IF(OR(C638="",B638&lt;&gt;"Pengeluaran"),"",IFERROR(INDEX(Dashboard!$B$18:$B$39,MATCH(C638,Dashboard!$A$18:$A$39,0)),""))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IF(OR(C639="",B639&lt;&gt;"Pengeluaran"),"",IFERROR(INDEX(Dashboard!$B$18:$B$39,MATCH(C639,Dashboard!$A$18:$A$39,0)),""))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IF(OR(C640="",B640&lt;&gt;"Pengeluaran"),"",IFERROR(INDEX(Dashboard!$B$18:$B$39,MATCH(C640,Dashboard!$A$18:$A$39,0)),""))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IF(OR(C641="",B641&lt;&gt;"Pengeluaran"),"",IFERROR(INDEX(Dashboard!$B$18:$B$39,MATCH(C641,Dashboard!$A$18:$A$39,0)),""))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IF(OR(C642="",B642&lt;&gt;"Pengeluaran"),"",IFERROR(INDEX(Dashboard!$B$18:$B$39,MATCH(C642,Dashboard!$A$18:$A$39,0)),""))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IF(OR(C643="",B643&lt;&gt;"Pengeluaran"),"",IFERROR(INDEX(Dashboard!$B$18:$B$39,MATCH(C643,Dashboard!$A$18:$A$39,0)),""))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IF(OR(C644="",B644&lt;&gt;"Pengeluaran"),"",IFERROR(INDEX(Dashboard!$B$18:$B$39,MATCH(C644,Dashboard!$A$18:$A$39,0)),""))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IF(OR(C645="",B645&lt;&gt;"Pengeluaran"),"",IFERROR(INDEX(Dashboard!$B$18:$B$39,MATCH(C645,Dashboard!$A$18:$A$39,0)),""))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IF(OR(C646="",B646&lt;&gt;"Pengeluaran"),"",IFERROR(INDEX(Dashboard!$B$18:$B$39,MATCH(C646,Dashboard!$A$18:$A$39,0)),""))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IF(OR(C647="",B647&lt;&gt;"Pengeluaran"),"",IFERROR(INDEX(Dashboard!$B$18:$B$39,MATCH(C647,Dashboard!$A$18:$A$39,0)),""))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IF(OR(C648="",B648&lt;&gt;"Pengeluaran"),"",IFERROR(INDEX(Dashboard!$B$18:$B$39,MATCH(C648,Dashboard!$A$18:$A$39,0)),""))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IF(OR(C649="",B649&lt;&gt;"Pengeluaran"),"",IFERROR(INDEX(Dashboard!$B$18:$B$39,MATCH(C649,Dashboard!$A$18:$A$39,0)),""))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IF(OR(C650="",B650&lt;&gt;"Pengeluaran"),"",IFERROR(INDEX(Dashboard!$B$18:$B$39,MATCH(C650,Dashboard!$A$18:$A$39,0)),""))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IF(OR(C651="",B651&lt;&gt;"Pengeluaran"),"",IFERROR(INDEX(Dashboard!$B$18:$B$39,MATCH(C651,Dashboard!$A$18:$A$39,0)),""))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IF(OR(C652="",B652&lt;&gt;"Pengeluaran"),"",IFERROR(INDEX(Dashboard!$B$18:$B$39,MATCH(C652,Dashboard!$A$18:$A$39,0)),""))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IF(OR(C653="",B653&lt;&gt;"Pengeluaran"),"",IFERROR(INDEX(Dashboard!$B$18:$B$39,MATCH(C653,Dashboard!$A$18:$A$39,0)),""))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IF(OR(C654="",B654&lt;&gt;"Pengeluaran"),"",IFERROR(INDEX(Dashboard!$B$18:$B$39,MATCH(C654,Dashboard!$A$18:$A$39,0)),""))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IF(OR(C655="",B655&lt;&gt;"Pengeluaran"),"",IFERROR(INDEX(Dashboard!$B$18:$B$39,MATCH(C655,Dashboard!$A$18:$A$39,0)),""))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IF(OR(C656="",B656&lt;&gt;"Pengeluaran"),"",IFERROR(INDEX(Dashboard!$B$18:$B$39,MATCH(C656,Dashboard!$A$18:$A$39,0)),""))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IF(OR(C657="",B657&lt;&gt;"Pengeluaran"),"",IFERROR(INDEX(Dashboard!$B$18:$B$39,MATCH(C657,Dashboard!$A$18:$A$39,0)),""))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IF(OR(C658="",B658&lt;&gt;"Pengeluaran"),"",IFERROR(INDEX(Dashboard!$B$18:$B$39,MATCH(C658,Dashboard!$A$18:$A$39,0)),""))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IF(OR(C659="",B659&lt;&gt;"Pengeluaran"),"",IFERROR(INDEX(Dashboard!$B$18:$B$39,MATCH(C659,Dashboard!$A$18:$A$39,0)),""))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IF(OR(C660="",B660&lt;&gt;"Pengeluaran"),"",IFERROR(INDEX(Dashboard!$B$18:$B$39,MATCH(C660,Dashboard!$A$18:$A$39,0)),""))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IF(OR(C661="",B661&lt;&gt;"Pengeluaran"),"",IFERROR(INDEX(Dashboard!$B$18:$B$39,MATCH(C661,Dashboard!$A$18:$A$39,0)),""))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IF(OR(C662="",B662&lt;&gt;"Pengeluaran"),"",IFERROR(INDEX(Dashboard!$B$18:$B$39,MATCH(C662,Dashboard!$A$18:$A$39,0)),""))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IF(OR(C663="",B663&lt;&gt;"Pengeluaran"),"",IFERROR(INDEX(Dashboard!$B$18:$B$39,MATCH(C663,Dashboard!$A$18:$A$39,0)),""))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IF(OR(C664="",B664&lt;&gt;"Pengeluaran"),"",IFERROR(INDEX(Dashboard!$B$18:$B$39,MATCH(C664,Dashboard!$A$18:$A$39,0)),""))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IF(OR(C665="",B665&lt;&gt;"Pengeluaran"),"",IFERROR(INDEX(Dashboard!$B$18:$B$39,MATCH(C665,Dashboard!$A$18:$A$39,0)),""))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IF(OR(C666="",B666&lt;&gt;"Pengeluaran"),"",IFERROR(INDEX(Dashboard!$B$18:$B$39,MATCH(C666,Dashboard!$A$18:$A$39,0)),""))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IF(OR(C667="",B667&lt;&gt;"Pengeluaran"),"",IFERROR(INDEX(Dashboard!$B$18:$B$39,MATCH(C667,Dashboard!$A$18:$A$39,0)),""))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IF(OR(C668="",B668&lt;&gt;"Pengeluaran"),"",IFERROR(INDEX(Dashboard!$B$18:$B$39,MATCH(C668,Dashboard!$A$18:$A$39,0)),""))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IF(OR(C669="",B669&lt;&gt;"Pengeluaran"),"",IFERROR(INDEX(Dashboard!$B$18:$B$39,MATCH(C669,Dashboard!$A$18:$A$39,0)),""))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IF(OR(C670="",B670&lt;&gt;"Pengeluaran"),"",IFERROR(INDEX(Dashboard!$B$18:$B$39,MATCH(C670,Dashboard!$A$18:$A$39,0)),""))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IF(OR(C671="",B671&lt;&gt;"Pengeluaran"),"",IFERROR(INDEX(Dashboard!$B$18:$B$39,MATCH(C671,Dashboard!$A$18:$A$39,0)),""))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IF(OR(C672="",B672&lt;&gt;"Pengeluaran"),"",IFERROR(INDEX(Dashboard!$B$18:$B$39,MATCH(C672,Dashboard!$A$18:$A$39,0)),""))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IF(OR(C673="",B673&lt;&gt;"Pengeluaran"),"",IFERROR(INDEX(Dashboard!$B$18:$B$39,MATCH(C673,Dashboard!$A$18:$A$39,0)),""))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IF(OR(C674="",B674&lt;&gt;"Pengeluaran"),"",IFERROR(INDEX(Dashboard!$B$18:$B$39,MATCH(C674,Dashboard!$A$18:$A$39,0)),""))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IF(OR(C675="",B675&lt;&gt;"Pengeluaran"),"",IFERROR(INDEX(Dashboard!$B$18:$B$39,MATCH(C675,Dashboard!$A$18:$A$39,0)),""))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IF(OR(C676="",B676&lt;&gt;"Pengeluaran"),"",IFERROR(INDEX(Dashboard!$B$18:$B$39,MATCH(C676,Dashboard!$A$18:$A$39,0)),""))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IF(OR(C677="",B677&lt;&gt;"Pengeluaran"),"",IFERROR(INDEX(Dashboard!$B$18:$B$39,MATCH(C677,Dashboard!$A$18:$A$39,0)),""))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IF(OR(C678="",B678&lt;&gt;"Pengeluaran"),"",IFERROR(INDEX(Dashboard!$B$18:$B$39,MATCH(C678,Dashboard!$A$18:$A$39,0)),""))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IF(OR(C679="",B679&lt;&gt;"Pengeluaran"),"",IFERROR(INDEX(Dashboard!$B$18:$B$39,MATCH(C679,Dashboard!$A$18:$A$39,0)),""))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IF(OR(C680="",B680&lt;&gt;"Pengeluaran"),"",IFERROR(INDEX(Dashboard!$B$18:$B$39,MATCH(C680,Dashboard!$A$18:$A$39,0)),""))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IF(OR(C681="",B681&lt;&gt;"Pengeluaran"),"",IFERROR(INDEX(Dashboard!$B$18:$B$39,MATCH(C681,Dashboard!$A$18:$A$39,0)),""))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IF(OR(C682="",B682&lt;&gt;"Pengeluaran"),"",IFERROR(INDEX(Dashboard!$B$18:$B$39,MATCH(C682,Dashboard!$A$18:$A$39,0)),""))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IF(OR(C683="",B683&lt;&gt;"Pengeluaran"),"",IFERROR(INDEX(Dashboard!$B$18:$B$39,MATCH(C683,Dashboard!$A$18:$A$39,0)),""))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IF(OR(C684="",B684&lt;&gt;"Pengeluaran"),"",IFERROR(INDEX(Dashboard!$B$18:$B$39,MATCH(C684,Dashboard!$A$18:$A$39,0)),""))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IF(OR(C685="",B685&lt;&gt;"Pengeluaran"),"",IFERROR(INDEX(Dashboard!$B$18:$B$39,MATCH(C685,Dashboard!$A$18:$A$39,0)),""))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IF(OR(C686="",B686&lt;&gt;"Pengeluaran"),"",IFERROR(INDEX(Dashboard!$B$18:$B$39,MATCH(C686,Dashboard!$A$18:$A$39,0)),""))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IF(OR(C687="",B687&lt;&gt;"Pengeluaran"),"",IFERROR(INDEX(Dashboard!$B$18:$B$39,MATCH(C687,Dashboard!$A$18:$A$39,0)),""))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IF(OR(C688="",B688&lt;&gt;"Pengeluaran"),"",IFERROR(INDEX(Dashboard!$B$18:$B$39,MATCH(C688,Dashboard!$A$18:$A$39,0)),""))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IF(OR(C689="",B689&lt;&gt;"Pengeluaran"),"",IFERROR(INDEX(Dashboard!$B$18:$B$39,MATCH(C689,Dashboard!$A$18:$A$39,0)),""))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IF(OR(C690="",B690&lt;&gt;"Pengeluaran"),"",IFERROR(INDEX(Dashboard!$B$18:$B$39,MATCH(C690,Dashboard!$A$18:$A$39,0)),""))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IF(OR(C691="",B691&lt;&gt;"Pengeluaran"),"",IFERROR(INDEX(Dashboard!$B$18:$B$39,MATCH(C691,Dashboard!$A$18:$A$39,0)),""))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IF(OR(C692="",B692&lt;&gt;"Pengeluaran"),"",IFERROR(INDEX(Dashboard!$B$18:$B$39,MATCH(C692,Dashboard!$A$18:$A$39,0)),""))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IF(OR(C693="",B693&lt;&gt;"Pengeluaran"),"",IFERROR(INDEX(Dashboard!$B$18:$B$39,MATCH(C693,Dashboard!$A$18:$A$39,0)),""))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IF(OR(C694="",B694&lt;&gt;"Pengeluaran"),"",IFERROR(INDEX(Dashboard!$B$18:$B$39,MATCH(C694,Dashboard!$A$18:$A$39,0)),""))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IF(OR(C695="",B695&lt;&gt;"Pengeluaran"),"",IFERROR(INDEX(Dashboard!$B$18:$B$39,MATCH(C695,Dashboard!$A$18:$A$39,0)),""))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IF(OR(C696="",B696&lt;&gt;"Pengeluaran"),"",IFERROR(INDEX(Dashboard!$B$18:$B$39,MATCH(C696,Dashboard!$A$18:$A$39,0)),""))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IF(OR(C697="",B697&lt;&gt;"Pengeluaran"),"",IFERROR(INDEX(Dashboard!$B$18:$B$39,MATCH(C697,Dashboard!$A$18:$A$39,0)),""))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IF(OR(C698="",B698&lt;&gt;"Pengeluaran"),"",IFERROR(INDEX(Dashboard!$B$18:$B$39,MATCH(C698,Dashboard!$A$18:$A$39,0)),""))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IF(OR(C699="",B699&lt;&gt;"Pengeluaran"),"",IFERROR(INDEX(Dashboard!$B$18:$B$39,MATCH(C699,Dashboard!$A$18:$A$39,0)),""))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IF(OR(C700="",B700&lt;&gt;"Pengeluaran"),"",IFERROR(INDEX(Dashboard!$B$18:$B$39,MATCH(C700,Dashboard!$A$18:$A$39,0)),""))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IF(OR(C701="",B701&lt;&gt;"Pengeluaran"),"",IFERROR(INDEX(Dashboard!$B$18:$B$39,MATCH(C701,Dashboard!$A$18:$A$39,0)),""))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IF(OR(C702="",B702&lt;&gt;"Pengeluaran"),"",IFERROR(INDEX(Dashboard!$B$18:$B$39,MATCH(C702,Dashboard!$A$18:$A$39,0)),""))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IF(OR(C703="",B703&lt;&gt;"Pengeluaran"),"",IFERROR(INDEX(Dashboard!$B$18:$B$39,MATCH(C703,Dashboard!$A$18:$A$39,0)),""))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IF(OR(C704="",B704&lt;&gt;"Pengeluaran"),"",IFERROR(INDEX(Dashboard!$B$18:$B$39,MATCH(C704,Dashboard!$A$18:$A$39,0)),""))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IF(OR(C705="",B705&lt;&gt;"Pengeluaran"),"",IFERROR(INDEX(Dashboard!$B$18:$B$39,MATCH(C705,Dashboard!$A$18:$A$39,0)),""))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IF(OR(C706="",B706&lt;&gt;"Pengeluaran"),"",IFERROR(INDEX(Dashboard!$B$18:$B$39,MATCH(C706,Dashboard!$A$18:$A$39,0)),""))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IF(OR(C707="",B707&lt;&gt;"Pengeluaran"),"",IFERROR(INDEX(Dashboard!$B$18:$B$39,MATCH(C707,Dashboard!$A$18:$A$39,0)),""))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IF(OR(C708="",B708&lt;&gt;"Pengeluaran"),"",IFERROR(INDEX(Dashboard!$B$18:$B$39,MATCH(C708,Dashboard!$A$18:$A$39,0)),""))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IF(OR(C709="",B709&lt;&gt;"Pengeluaran"),"",IFERROR(INDEX(Dashboard!$B$18:$B$39,MATCH(C709,Dashboard!$A$18:$A$39,0)),""))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IF(OR(C710="",B710&lt;&gt;"Pengeluaran"),"",IFERROR(INDEX(Dashboard!$B$18:$B$39,MATCH(C710,Dashboard!$A$18:$A$39,0)),""))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IF(OR(C711="",B711&lt;&gt;"Pengeluaran"),"",IFERROR(INDEX(Dashboard!$B$18:$B$39,MATCH(C711,Dashboard!$A$18:$A$39,0)),""))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IF(OR(C712="",B712&lt;&gt;"Pengeluaran"),"",IFERROR(INDEX(Dashboard!$B$18:$B$39,MATCH(C712,Dashboard!$A$18:$A$39,0)),""))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IF(OR(C713="",B713&lt;&gt;"Pengeluaran"),"",IFERROR(INDEX(Dashboard!$B$18:$B$39,MATCH(C713,Dashboard!$A$18:$A$39,0)),""))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IF(OR(C714="",B714&lt;&gt;"Pengeluaran"),"",IFERROR(INDEX(Dashboard!$B$18:$B$39,MATCH(C714,Dashboard!$A$18:$A$39,0)),""))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IF(OR(C715="",B715&lt;&gt;"Pengeluaran"),"",IFERROR(INDEX(Dashboard!$B$18:$B$39,MATCH(C715,Dashboard!$A$18:$A$39,0)),""))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IF(OR(C716="",B716&lt;&gt;"Pengeluaran"),"",IFERROR(INDEX(Dashboard!$B$18:$B$39,MATCH(C716,Dashboard!$A$18:$A$39,0)),""))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IF(OR(C717="",B717&lt;&gt;"Pengeluaran"),"",IFERROR(INDEX(Dashboard!$B$18:$B$39,MATCH(C717,Dashboard!$A$18:$A$39,0)),""))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IF(OR(C718="",B718&lt;&gt;"Pengeluaran"),"",IFERROR(INDEX(Dashboard!$B$18:$B$39,MATCH(C718,Dashboard!$A$18:$A$39,0)),""))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IF(OR(C719="",B719&lt;&gt;"Pengeluaran"),"",IFERROR(INDEX(Dashboard!$B$18:$B$39,MATCH(C719,Dashboard!$A$18:$A$39,0)),""))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IF(OR(C720="",B720&lt;&gt;"Pengeluaran"),"",IFERROR(INDEX(Dashboard!$B$18:$B$39,MATCH(C720,Dashboard!$A$18:$A$39,0)),""))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IF(OR(C721="",B721&lt;&gt;"Pengeluaran"),"",IFERROR(INDEX(Dashboard!$B$18:$B$39,MATCH(C721,Dashboard!$A$18:$A$39,0)),""))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IF(OR(C722="",B722&lt;&gt;"Pengeluaran"),"",IFERROR(INDEX(Dashboard!$B$18:$B$39,MATCH(C722,Dashboard!$A$18:$A$39,0)),""))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IF(OR(C723="",B723&lt;&gt;"Pengeluaran"),"",IFERROR(INDEX(Dashboard!$B$18:$B$39,MATCH(C723,Dashboard!$A$18:$A$39,0)),""))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IF(OR(C724="",B724&lt;&gt;"Pengeluaran"),"",IFERROR(INDEX(Dashboard!$B$18:$B$39,MATCH(C724,Dashboard!$A$18:$A$39,0)),""))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IF(OR(C725="",B725&lt;&gt;"Pengeluaran"),"",IFERROR(INDEX(Dashboard!$B$18:$B$39,MATCH(C725,Dashboard!$A$18:$A$39,0)),""))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IF(OR(C726="",B726&lt;&gt;"Pengeluaran"),"",IFERROR(INDEX(Dashboard!$B$18:$B$39,MATCH(C726,Dashboard!$A$18:$A$39,0)),""))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IF(OR(C727="",B727&lt;&gt;"Pengeluaran"),"",IFERROR(INDEX(Dashboard!$B$18:$B$39,MATCH(C727,Dashboard!$A$18:$A$39,0)),""))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IF(OR(C728="",B728&lt;&gt;"Pengeluaran"),"",IFERROR(INDEX(Dashboard!$B$18:$B$39,MATCH(C728,Dashboard!$A$18:$A$39,0)),""))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IF(OR(C729="",B729&lt;&gt;"Pengeluaran"),"",IFERROR(INDEX(Dashboard!$B$18:$B$39,MATCH(C729,Dashboard!$A$18:$A$39,0)),""))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IF(OR(C730="",B730&lt;&gt;"Pengeluaran"),"",IFERROR(INDEX(Dashboard!$B$18:$B$39,MATCH(C730,Dashboard!$A$18:$A$39,0)),""))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IF(OR(C731="",B731&lt;&gt;"Pengeluaran"),"",IFERROR(INDEX(Dashboard!$B$18:$B$39,MATCH(C731,Dashboard!$A$18:$A$39,0)),""))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IF(OR(C732="",B732&lt;&gt;"Pengeluaran"),"",IFERROR(INDEX(Dashboard!$B$18:$B$39,MATCH(C732,Dashboard!$A$18:$A$39,0)),""))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IF(OR(C733="",B733&lt;&gt;"Pengeluaran"),"",IFERROR(INDEX(Dashboard!$B$18:$B$39,MATCH(C733,Dashboard!$A$18:$A$39,0)),""))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IF(OR(C734="",B734&lt;&gt;"Pengeluaran"),"",IFERROR(INDEX(Dashboard!$B$18:$B$39,MATCH(C734,Dashboard!$A$18:$A$39,0)),""))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IF(OR(C735="",B735&lt;&gt;"Pengeluaran"),"",IFERROR(INDEX(Dashboard!$B$18:$B$39,MATCH(C735,Dashboard!$A$18:$A$39,0)),""))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IF(OR(C736="",B736&lt;&gt;"Pengeluaran"),"",IFERROR(INDEX(Dashboard!$B$18:$B$39,MATCH(C736,Dashboard!$A$18:$A$39,0)),""))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IF(OR(C737="",B737&lt;&gt;"Pengeluaran"),"",IFERROR(INDEX(Dashboard!$B$18:$B$39,MATCH(C737,Dashboard!$A$18:$A$39,0)),""))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IF(OR(C738="",B738&lt;&gt;"Pengeluaran"),"",IFERROR(INDEX(Dashboard!$B$18:$B$39,MATCH(C738,Dashboard!$A$18:$A$39,0)),""))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IF(OR(C739="",B739&lt;&gt;"Pengeluaran"),"",IFERROR(INDEX(Dashboard!$B$18:$B$39,MATCH(C739,Dashboard!$A$18:$A$39,0)),""))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IF(OR(C740="",B740&lt;&gt;"Pengeluaran"),"",IFERROR(INDEX(Dashboard!$B$18:$B$39,MATCH(C740,Dashboard!$A$18:$A$39,0)),""))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IF(OR(C741="",B741&lt;&gt;"Pengeluaran"),"",IFERROR(INDEX(Dashboard!$B$18:$B$39,MATCH(C741,Dashboard!$A$18:$A$39,0)),""))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IF(OR(C742="",B742&lt;&gt;"Pengeluaran"),"",IFERROR(INDEX(Dashboard!$B$18:$B$39,MATCH(C742,Dashboard!$A$18:$A$39,0)),""))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IF(OR(C743="",B743&lt;&gt;"Pengeluaran"),"",IFERROR(INDEX(Dashboard!$B$18:$B$39,MATCH(C743,Dashboard!$A$18:$A$39,0)),""))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IF(OR(C744="",B744&lt;&gt;"Pengeluaran"),"",IFERROR(INDEX(Dashboard!$B$18:$B$39,MATCH(C744,Dashboard!$A$18:$A$39,0)),""))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IF(OR(C745="",B745&lt;&gt;"Pengeluaran"),"",IFERROR(INDEX(Dashboard!$B$18:$B$39,MATCH(C745,Dashboard!$A$18:$A$39,0)),""))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IF(OR(C746="",B746&lt;&gt;"Pengeluaran"),"",IFERROR(INDEX(Dashboard!$B$18:$B$39,MATCH(C746,Dashboard!$A$18:$A$39,0)),""))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IF(OR(C747="",B747&lt;&gt;"Pengeluaran"),"",IFERROR(INDEX(Dashboard!$B$18:$B$39,MATCH(C747,Dashboard!$A$18:$A$39,0)),""))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IF(OR(C748="",B748&lt;&gt;"Pengeluaran"),"",IFERROR(INDEX(Dashboard!$B$18:$B$39,MATCH(C748,Dashboard!$A$18:$A$39,0)),""))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IF(OR(C749="",B749&lt;&gt;"Pengeluaran"),"",IFERROR(INDEX(Dashboard!$B$18:$B$39,MATCH(C749,Dashboard!$A$18:$A$39,0)),""))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IF(OR(C750="",B750&lt;&gt;"Pengeluaran"),"",IFERROR(INDEX(Dashboard!$B$18:$B$39,MATCH(C750,Dashboard!$A$18:$A$39,0)),""))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IF(OR(C751="",B751&lt;&gt;"Pengeluaran"),"",IFERROR(INDEX(Dashboard!$B$18:$B$39,MATCH(C751,Dashboard!$A$18:$A$39,0)),""))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IF(OR(C752="",B752&lt;&gt;"Pengeluaran"),"",IFERROR(INDEX(Dashboard!$B$18:$B$39,MATCH(C752,Dashboard!$A$18:$A$39,0)),""))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IF(OR(C753="",B753&lt;&gt;"Pengeluaran"),"",IFERROR(INDEX(Dashboard!$B$18:$B$39,MATCH(C753,Dashboard!$A$18:$A$39,0)),""))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IF(OR(C754="",B754&lt;&gt;"Pengeluaran"),"",IFERROR(INDEX(Dashboard!$B$18:$B$39,MATCH(C754,Dashboard!$A$18:$A$39,0)),""))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IF(OR(C755="",B755&lt;&gt;"Pengeluaran"),"",IFERROR(INDEX(Dashboard!$B$18:$B$39,MATCH(C755,Dashboard!$A$18:$A$39,0)),""))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IF(OR(C756="",B756&lt;&gt;"Pengeluaran"),"",IFERROR(INDEX(Dashboard!$B$18:$B$39,MATCH(C756,Dashboard!$A$18:$A$39,0)),""))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IF(OR(C757="",B757&lt;&gt;"Pengeluaran"),"",IFERROR(INDEX(Dashboard!$B$18:$B$39,MATCH(C757,Dashboard!$A$18:$A$39,0)),""))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IF(OR(C758="",B758&lt;&gt;"Pengeluaran"),"",IFERROR(INDEX(Dashboard!$B$18:$B$39,MATCH(C758,Dashboard!$A$18:$A$39,0)),""))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IF(OR(C759="",B759&lt;&gt;"Pengeluaran"),"",IFERROR(INDEX(Dashboard!$B$18:$B$39,MATCH(C759,Dashboard!$A$18:$A$39,0)),""))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IF(OR(C760="",B760&lt;&gt;"Pengeluaran"),"",IFERROR(INDEX(Dashboard!$B$18:$B$39,MATCH(C760,Dashboard!$A$18:$A$39,0)),""))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IF(OR(C761="",B761&lt;&gt;"Pengeluaran"),"",IFERROR(INDEX(Dashboard!$B$18:$B$39,MATCH(C761,Dashboard!$A$18:$A$39,0)),""))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IF(OR(C762="",B762&lt;&gt;"Pengeluaran"),"",IFERROR(INDEX(Dashboard!$B$18:$B$39,MATCH(C762,Dashboard!$A$18:$A$39,0)),""))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IF(OR(C763="",B763&lt;&gt;"Pengeluaran"),"",IFERROR(INDEX(Dashboard!$B$18:$B$39,MATCH(C763,Dashboard!$A$18:$A$39,0)),""))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IF(OR(C764="",B764&lt;&gt;"Pengeluaran"),"",IFERROR(INDEX(Dashboard!$B$18:$B$39,MATCH(C764,Dashboard!$A$18:$A$39,0)),""))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IF(OR(C765="",B765&lt;&gt;"Pengeluaran"),"",IFERROR(INDEX(Dashboard!$B$18:$B$39,MATCH(C765,Dashboard!$A$18:$A$39,0)),""))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IF(OR(C766="",B766&lt;&gt;"Pengeluaran"),"",IFERROR(INDEX(Dashboard!$B$18:$B$39,MATCH(C766,Dashboard!$A$18:$A$39,0)),""))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IF(OR(C767="",B767&lt;&gt;"Pengeluaran"),"",IFERROR(INDEX(Dashboard!$B$18:$B$39,MATCH(C767,Dashboard!$A$18:$A$39,0)),""))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IF(OR(C768="",B768&lt;&gt;"Pengeluaran"),"",IFERROR(INDEX(Dashboard!$B$18:$B$39,MATCH(C768,Dashboard!$A$18:$A$39,0)),""))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IF(OR(C769="",B769&lt;&gt;"Pengeluaran"),"",IFERROR(INDEX(Dashboard!$B$18:$B$39,MATCH(C769,Dashboard!$A$18:$A$39,0)),""))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IF(OR(C770="",B770&lt;&gt;"Pengeluaran"),"",IFERROR(INDEX(Dashboard!$B$18:$B$39,MATCH(C770,Dashboard!$A$18:$A$39,0)),""))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IF(OR(C771="",B771&lt;&gt;"Pengeluaran"),"",IFERROR(INDEX(Dashboard!$B$18:$B$39,MATCH(C771,Dashboard!$A$18:$A$39,0)),""))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IF(OR(C772="",B772&lt;&gt;"Pengeluaran"),"",IFERROR(INDEX(Dashboard!$B$18:$B$39,MATCH(C772,Dashboard!$A$18:$A$39,0)),""))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IF(OR(C773="",B773&lt;&gt;"Pengeluaran"),"",IFERROR(INDEX(Dashboard!$B$18:$B$39,MATCH(C773,Dashboard!$A$18:$A$39,0)),""))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IF(OR(C774="",B774&lt;&gt;"Pengeluaran"),"",IFERROR(INDEX(Dashboard!$B$18:$B$39,MATCH(C774,Dashboard!$A$18:$A$39,0)),""))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IF(OR(C775="",B775&lt;&gt;"Pengeluaran"),"",IFERROR(INDEX(Dashboard!$B$18:$B$39,MATCH(C775,Dashboard!$A$18:$A$39,0)),""))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IF(OR(C776="",B776&lt;&gt;"Pengeluaran"),"",IFERROR(INDEX(Dashboard!$B$18:$B$39,MATCH(C776,Dashboard!$A$18:$A$39,0)),""))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IF(OR(C777="",B777&lt;&gt;"Pengeluaran"),"",IFERROR(INDEX(Dashboard!$B$18:$B$39,MATCH(C777,Dashboard!$A$18:$A$39,0)),""))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IF(OR(C778="",B778&lt;&gt;"Pengeluaran"),"",IFERROR(INDEX(Dashboard!$B$18:$B$39,MATCH(C778,Dashboard!$A$18:$A$39,0)),""))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IF(OR(C779="",B779&lt;&gt;"Pengeluaran"),"",IFERROR(INDEX(Dashboard!$B$18:$B$39,MATCH(C779,Dashboard!$A$18:$A$39,0)),""))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IF(OR(C780="",B780&lt;&gt;"Pengeluaran"),"",IFERROR(INDEX(Dashboard!$B$18:$B$39,MATCH(C780,Dashboard!$A$18:$A$39,0)),""))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IF(OR(C781="",B781&lt;&gt;"Pengeluaran"),"",IFERROR(INDEX(Dashboard!$B$18:$B$39,MATCH(C781,Dashboard!$A$18:$A$39,0)),""))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IF(OR(C782="",B782&lt;&gt;"Pengeluaran"),"",IFERROR(INDEX(Dashboard!$B$18:$B$39,MATCH(C782,Dashboard!$A$18:$A$39,0)),""))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IF(OR(C783="",B783&lt;&gt;"Pengeluaran"),"",IFERROR(INDEX(Dashboard!$B$18:$B$39,MATCH(C783,Dashboard!$A$18:$A$39,0)),""))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IF(OR(C784="",B784&lt;&gt;"Pengeluaran"),"",IFERROR(INDEX(Dashboard!$B$18:$B$39,MATCH(C784,Dashboard!$A$18:$A$39,0)),""))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IF(OR(C785="",B785&lt;&gt;"Pengeluaran"),"",IFERROR(INDEX(Dashboard!$B$18:$B$39,MATCH(C785,Dashboard!$A$18:$A$39,0)),""))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IF(OR(C786="",B786&lt;&gt;"Pengeluaran"),"",IFERROR(INDEX(Dashboard!$B$18:$B$39,MATCH(C786,Dashboard!$A$18:$A$39,0)),""))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IF(OR(C787="",B787&lt;&gt;"Pengeluaran"),"",IFERROR(INDEX(Dashboard!$B$18:$B$39,MATCH(C787,Dashboard!$A$18:$A$39,0)),""))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IF(OR(C788="",B788&lt;&gt;"Pengeluaran"),"",IFERROR(INDEX(Dashboard!$B$18:$B$39,MATCH(C788,Dashboard!$A$18:$A$39,0)),""))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IF(OR(C789="",B789&lt;&gt;"Pengeluaran"),"",IFERROR(INDEX(Dashboard!$B$18:$B$39,MATCH(C789,Dashboard!$A$18:$A$39,0)),""))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IF(OR(C790="",B790&lt;&gt;"Pengeluaran"),"",IFERROR(INDEX(Dashboard!$B$18:$B$39,MATCH(C790,Dashboard!$A$18:$A$39,0)),""))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IF(OR(C791="",B791&lt;&gt;"Pengeluaran"),"",IFERROR(INDEX(Dashboard!$B$18:$B$39,MATCH(C791,Dashboard!$A$18:$A$39,0)),""))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IF(OR(C792="",B792&lt;&gt;"Pengeluaran"),"",IFERROR(INDEX(Dashboard!$B$18:$B$39,MATCH(C792,Dashboard!$A$18:$A$39,0)),""))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IF(OR(C793="",B793&lt;&gt;"Pengeluaran"),"",IFERROR(INDEX(Dashboard!$B$18:$B$39,MATCH(C793,Dashboard!$A$18:$A$39,0)),""))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IF(OR(C794="",B794&lt;&gt;"Pengeluaran"),"",IFERROR(INDEX(Dashboard!$B$18:$B$39,MATCH(C794,Dashboard!$A$18:$A$39,0)),""))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IF(OR(C795="",B795&lt;&gt;"Pengeluaran"),"",IFERROR(INDEX(Dashboard!$B$18:$B$39,MATCH(C795,Dashboard!$A$18:$A$39,0)),""))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IF(OR(C796="",B796&lt;&gt;"Pengeluaran"),"",IFERROR(INDEX(Dashboard!$B$18:$B$39,MATCH(C796,Dashboard!$A$18:$A$39,0)),""))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IF(OR(C797="",B797&lt;&gt;"Pengeluaran"),"",IFERROR(INDEX(Dashboard!$B$18:$B$39,MATCH(C797,Dashboard!$A$18:$A$39,0)),""))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IF(OR(C798="",B798&lt;&gt;"Pengeluaran"),"",IFERROR(INDEX(Dashboard!$B$18:$B$39,MATCH(C798,Dashboard!$A$18:$A$39,0)),""))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IF(OR(C799="",B799&lt;&gt;"Pengeluaran"),"",IFERROR(INDEX(Dashboard!$B$18:$B$39,MATCH(C799,Dashboard!$A$18:$A$39,0)),""))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IF(OR(C800="",B800&lt;&gt;"Pengeluaran"),"",IFERROR(INDEX(Dashboard!$B$18:$B$39,MATCH(C800,Dashboard!$A$18:$A$39,0)),""))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IF(OR(C801="",B801&lt;&gt;"Pengeluaran"),"",IFERROR(INDEX(Dashboard!$B$18:$B$39,MATCH(C801,Dashboard!$A$18:$A$39,0)),""))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IF(OR(C802="",B802&lt;&gt;"Pengeluaran"),"",IFERROR(INDEX(Dashboard!$B$18:$B$39,MATCH(C802,Dashboard!$A$18:$A$39,0)),""))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IF(OR(C803="",B803&lt;&gt;"Pengeluaran"),"",IFERROR(INDEX(Dashboard!$B$18:$B$39,MATCH(C803,Dashboard!$A$18:$A$39,0)),""))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IF(OR(C804="",B804&lt;&gt;"Pengeluaran"),"",IFERROR(INDEX(Dashboard!$B$18:$B$39,MATCH(C804,Dashboard!$A$18:$A$39,0)),""))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IF(OR(C805="",B805&lt;&gt;"Pengeluaran"),"",IFERROR(INDEX(Dashboard!$B$18:$B$39,MATCH(C805,Dashboard!$A$18:$A$39,0)),""))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IF(OR(C806="",B806&lt;&gt;"Pengeluaran"),"",IFERROR(INDEX(Dashboard!$B$18:$B$39,MATCH(C806,Dashboard!$A$18:$A$39,0)),""))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IF(OR(C807="",B807&lt;&gt;"Pengeluaran"),"",IFERROR(INDEX(Dashboard!$B$18:$B$39,MATCH(C807,Dashboard!$A$18:$A$39,0)),""))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IF(OR(C808="",B808&lt;&gt;"Pengeluaran"),"",IFERROR(INDEX(Dashboard!$B$18:$B$39,MATCH(C808,Dashboard!$A$18:$A$39,0)),""))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IF(OR(C809="",B809&lt;&gt;"Pengeluaran"),"",IFERROR(INDEX(Dashboard!$B$18:$B$39,MATCH(C809,Dashboard!$A$18:$A$39,0)),""))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IF(OR(C810="",B810&lt;&gt;"Pengeluaran"),"",IFERROR(INDEX(Dashboard!$B$18:$B$39,MATCH(C810,Dashboard!$A$18:$A$39,0)),""))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IF(OR(C811="",B811&lt;&gt;"Pengeluaran"),"",IFERROR(INDEX(Dashboard!$B$18:$B$39,MATCH(C811,Dashboard!$A$18:$A$39,0)),""))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IF(OR(C812="",B812&lt;&gt;"Pengeluaran"),"",IFERROR(INDEX(Dashboard!$B$18:$B$39,MATCH(C812,Dashboard!$A$18:$A$39,0)),""))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IF(OR(C813="",B813&lt;&gt;"Pengeluaran"),"",IFERROR(INDEX(Dashboard!$B$18:$B$39,MATCH(C813,Dashboard!$A$18:$A$39,0)),""))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IF(OR(C814="",B814&lt;&gt;"Pengeluaran"),"",IFERROR(INDEX(Dashboard!$B$18:$B$39,MATCH(C814,Dashboard!$A$18:$A$39,0)),""))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IF(OR(C815="",B815&lt;&gt;"Pengeluaran"),"",IFERROR(INDEX(Dashboard!$B$18:$B$39,MATCH(C815,Dashboard!$A$18:$A$39,0)),""))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IF(OR(C816="",B816&lt;&gt;"Pengeluaran"),"",IFERROR(INDEX(Dashboard!$B$18:$B$39,MATCH(C816,Dashboard!$A$18:$A$39,0)),""))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IF(OR(C817="",B817&lt;&gt;"Pengeluaran"),"",IFERROR(INDEX(Dashboard!$B$18:$B$39,MATCH(C817,Dashboard!$A$18:$A$39,0)),""))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IF(OR(C818="",B818&lt;&gt;"Pengeluaran"),"",IFERROR(INDEX(Dashboard!$B$18:$B$39,MATCH(C818,Dashboard!$A$18:$A$39,0)),""))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IF(OR(C819="",B819&lt;&gt;"Pengeluaran"),"",IFERROR(INDEX(Dashboard!$B$18:$B$39,MATCH(C819,Dashboard!$A$18:$A$39,0)),""))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IF(OR(C820="",B820&lt;&gt;"Pengeluaran"),"",IFERROR(INDEX(Dashboard!$B$18:$B$39,MATCH(C820,Dashboard!$A$18:$A$39,0)),""))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IF(OR(C821="",B821&lt;&gt;"Pengeluaran"),"",IFERROR(INDEX(Dashboard!$B$18:$B$39,MATCH(C821,Dashboard!$A$18:$A$39,0)),""))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IF(OR(C822="",B822&lt;&gt;"Pengeluaran"),"",IFERROR(INDEX(Dashboard!$B$18:$B$39,MATCH(C822,Dashboard!$A$18:$A$39,0)),""))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IF(OR(C823="",B823&lt;&gt;"Pengeluaran"),"",IFERROR(INDEX(Dashboard!$B$18:$B$39,MATCH(C823,Dashboard!$A$18:$A$39,0)),""))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IF(OR(C824="",B824&lt;&gt;"Pengeluaran"),"",IFERROR(INDEX(Dashboard!$B$18:$B$39,MATCH(C824,Dashboard!$A$18:$A$39,0)),""))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IF(OR(C825="",B825&lt;&gt;"Pengeluaran"),"",IFERROR(INDEX(Dashboard!$B$18:$B$39,MATCH(C825,Dashboard!$A$18:$A$39,0)),""))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IF(OR(C826="",B826&lt;&gt;"Pengeluaran"),"",IFERROR(INDEX(Dashboard!$B$18:$B$39,MATCH(C826,Dashboard!$A$18:$A$39,0)),""))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IF(OR(C827="",B827&lt;&gt;"Pengeluaran"),"",IFERROR(INDEX(Dashboard!$B$18:$B$39,MATCH(C827,Dashboard!$A$18:$A$39,0)),""))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IF(OR(C828="",B828&lt;&gt;"Pengeluaran"),"",IFERROR(INDEX(Dashboard!$B$18:$B$39,MATCH(C828,Dashboard!$A$18:$A$39,0)),""))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IF(OR(C829="",B829&lt;&gt;"Pengeluaran"),"",IFERROR(INDEX(Dashboard!$B$18:$B$39,MATCH(C829,Dashboard!$A$18:$A$39,0)),""))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IF(OR(C830="",B830&lt;&gt;"Pengeluaran"),"",IFERROR(INDEX(Dashboard!$B$18:$B$39,MATCH(C830,Dashboard!$A$18:$A$39,0)),""))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IF(OR(C831="",B831&lt;&gt;"Pengeluaran"),"",IFERROR(INDEX(Dashboard!$B$18:$B$39,MATCH(C831,Dashboard!$A$18:$A$39,0)),""))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IF(OR(C832="",B832&lt;&gt;"Pengeluaran"),"",IFERROR(INDEX(Dashboard!$B$18:$B$39,MATCH(C832,Dashboard!$A$18:$A$39,0)),""))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IF(OR(C833="",B833&lt;&gt;"Pengeluaran"),"",IFERROR(INDEX(Dashboard!$B$18:$B$39,MATCH(C833,Dashboard!$A$18:$A$39,0)),""))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IF(OR(C834="",B834&lt;&gt;"Pengeluaran"),"",IFERROR(INDEX(Dashboard!$B$18:$B$39,MATCH(C834,Dashboard!$A$18:$A$39,0)),""))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IF(OR(C835="",B835&lt;&gt;"Pengeluaran"),"",IFERROR(INDEX(Dashboard!$B$18:$B$39,MATCH(C835,Dashboard!$A$18:$A$39,0)),""))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IF(OR(C836="",B836&lt;&gt;"Pengeluaran"),"",IFERROR(INDEX(Dashboard!$B$18:$B$39,MATCH(C836,Dashboard!$A$18:$A$39,0)),""))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IF(OR(C837="",B837&lt;&gt;"Pengeluaran"),"",IFERROR(INDEX(Dashboard!$B$18:$B$39,MATCH(C837,Dashboard!$A$18:$A$39,0)),""))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IF(OR(C838="",B838&lt;&gt;"Pengeluaran"),"",IFERROR(INDEX(Dashboard!$B$18:$B$39,MATCH(C838,Dashboard!$A$18:$A$39,0)),""))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IF(OR(C839="",B839&lt;&gt;"Pengeluaran"),"",IFERROR(INDEX(Dashboard!$B$18:$B$39,MATCH(C839,Dashboard!$A$18:$A$39,0)),""))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IF(OR(C840="",B840&lt;&gt;"Pengeluaran"),"",IFERROR(INDEX(Dashboard!$B$18:$B$39,MATCH(C840,Dashboard!$A$18:$A$39,0)),""))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IF(OR(C841="",B841&lt;&gt;"Pengeluaran"),"",IFERROR(INDEX(Dashboard!$B$18:$B$39,MATCH(C841,Dashboard!$A$18:$A$39,0)),""))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IF(OR(C842="",B842&lt;&gt;"Pengeluaran"),"",IFERROR(INDEX(Dashboard!$B$18:$B$39,MATCH(C842,Dashboard!$A$18:$A$39,0)),""))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IF(OR(C843="",B843&lt;&gt;"Pengeluaran"),"",IFERROR(INDEX(Dashboard!$B$18:$B$39,MATCH(C843,Dashboard!$A$18:$A$39,0)),""))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IF(OR(C844="",B844&lt;&gt;"Pengeluaran"),"",IFERROR(INDEX(Dashboard!$B$18:$B$39,MATCH(C844,Dashboard!$A$18:$A$39,0)),""))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IF(OR(C845="",B845&lt;&gt;"Pengeluaran"),"",IFERROR(INDEX(Dashboard!$B$18:$B$39,MATCH(C845,Dashboard!$A$18:$A$39,0)),""))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IF(OR(C846="",B846&lt;&gt;"Pengeluaran"),"",IFERROR(INDEX(Dashboard!$B$18:$B$39,MATCH(C846,Dashboard!$A$18:$A$39,0)),""))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IF(OR(C847="",B847&lt;&gt;"Pengeluaran"),"",IFERROR(INDEX(Dashboard!$B$18:$B$39,MATCH(C847,Dashboard!$A$18:$A$39,0)),""))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IF(OR(C848="",B848&lt;&gt;"Pengeluaran"),"",IFERROR(INDEX(Dashboard!$B$18:$B$39,MATCH(C848,Dashboard!$A$18:$A$39,0)),""))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IF(OR(C849="",B849&lt;&gt;"Pengeluaran"),"",IFERROR(INDEX(Dashboard!$B$18:$B$39,MATCH(C849,Dashboard!$A$18:$A$39,0)),""))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IF(OR(C850="",B850&lt;&gt;"Pengeluaran"),"",IFERROR(INDEX(Dashboard!$B$18:$B$39,MATCH(C850,Dashboard!$A$18:$A$39,0)),""))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IF(OR(C851="",B851&lt;&gt;"Pengeluaran"),"",IFERROR(INDEX(Dashboard!$B$18:$B$39,MATCH(C851,Dashboard!$A$18:$A$39,0)),""))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IF(OR(C852="",B852&lt;&gt;"Pengeluaran"),"",IFERROR(INDEX(Dashboard!$B$18:$B$39,MATCH(C852,Dashboard!$A$18:$A$39,0)),""))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IF(OR(C853="",B853&lt;&gt;"Pengeluaran"),"",IFERROR(INDEX(Dashboard!$B$18:$B$39,MATCH(C853,Dashboard!$A$18:$A$39,0)),""))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IF(OR(C854="",B854&lt;&gt;"Pengeluaran"),"",IFERROR(INDEX(Dashboard!$B$18:$B$39,MATCH(C854,Dashboard!$A$18:$A$39,0)),""))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IF(OR(C855="",B855&lt;&gt;"Pengeluaran"),"",IFERROR(INDEX(Dashboard!$B$18:$B$39,MATCH(C855,Dashboard!$A$18:$A$39,0)),""))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IF(OR(C856="",B856&lt;&gt;"Pengeluaran"),"",IFERROR(INDEX(Dashboard!$B$18:$B$39,MATCH(C856,Dashboard!$A$18:$A$39,0)),""))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IF(OR(C857="",B857&lt;&gt;"Pengeluaran"),"",IFERROR(INDEX(Dashboard!$B$18:$B$39,MATCH(C857,Dashboard!$A$18:$A$39,0)),""))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IF(OR(C858="",B858&lt;&gt;"Pengeluaran"),"",IFERROR(INDEX(Dashboard!$B$18:$B$39,MATCH(C858,Dashboard!$A$18:$A$39,0)),""))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IF(OR(C859="",B859&lt;&gt;"Pengeluaran"),"",IFERROR(INDEX(Dashboard!$B$18:$B$39,MATCH(C859,Dashboard!$A$18:$A$39,0)),""))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IF(OR(C860="",B860&lt;&gt;"Pengeluaran"),"",IFERROR(INDEX(Dashboard!$B$18:$B$39,MATCH(C860,Dashboard!$A$18:$A$39,0)),""))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IF(OR(C861="",B861&lt;&gt;"Pengeluaran"),"",IFERROR(INDEX(Dashboard!$B$18:$B$39,MATCH(C861,Dashboard!$A$18:$A$39,0)),""))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IF(OR(C862="",B862&lt;&gt;"Pengeluaran"),"",IFERROR(INDEX(Dashboard!$B$18:$B$39,MATCH(C862,Dashboard!$A$18:$A$39,0)),""))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IF(OR(C863="",B863&lt;&gt;"Pengeluaran"),"",IFERROR(INDEX(Dashboard!$B$18:$B$39,MATCH(C863,Dashboard!$A$18:$A$39,0)),""))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IF(OR(C864="",B864&lt;&gt;"Pengeluaran"),"",IFERROR(INDEX(Dashboard!$B$18:$B$39,MATCH(C864,Dashboard!$A$18:$A$39,0)),""))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IF(OR(C865="",B865&lt;&gt;"Pengeluaran"),"",IFERROR(INDEX(Dashboard!$B$18:$B$39,MATCH(C865,Dashboard!$A$18:$A$39,0)),""))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IF(OR(C866="",B866&lt;&gt;"Pengeluaran"),"",IFERROR(INDEX(Dashboard!$B$18:$B$39,MATCH(C866,Dashboard!$A$18:$A$39,0)),""))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IF(OR(C867="",B867&lt;&gt;"Pengeluaran"),"",IFERROR(INDEX(Dashboard!$B$18:$B$39,MATCH(C867,Dashboard!$A$18:$A$39,0)),""))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IF(OR(C868="",B868&lt;&gt;"Pengeluaran"),"",IFERROR(INDEX(Dashboard!$B$18:$B$39,MATCH(C868,Dashboard!$A$18:$A$39,0)),""))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IF(OR(C869="",B869&lt;&gt;"Pengeluaran"),"",IFERROR(INDEX(Dashboard!$B$18:$B$39,MATCH(C869,Dashboard!$A$18:$A$39,0)),""))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IF(OR(C870="",B870&lt;&gt;"Pengeluaran"),"",IFERROR(INDEX(Dashboard!$B$18:$B$39,MATCH(C870,Dashboard!$A$18:$A$39,0)),""))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IF(OR(C871="",B871&lt;&gt;"Pengeluaran"),"",IFERROR(INDEX(Dashboard!$B$18:$B$39,MATCH(C871,Dashboard!$A$18:$A$39,0)),""))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IF(OR(C872="",B872&lt;&gt;"Pengeluaran"),"",IFERROR(INDEX(Dashboard!$B$18:$B$39,MATCH(C872,Dashboard!$A$18:$A$39,0)),""))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IF(OR(C873="",B873&lt;&gt;"Pengeluaran"),"",IFERROR(INDEX(Dashboard!$B$18:$B$39,MATCH(C873,Dashboard!$A$18:$A$39,0)),""))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IF(OR(C874="",B874&lt;&gt;"Pengeluaran"),"",IFERROR(INDEX(Dashboard!$B$18:$B$39,MATCH(C874,Dashboard!$A$18:$A$39,0)),""))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IF(OR(C875="",B875&lt;&gt;"Pengeluaran"),"",IFERROR(INDEX(Dashboard!$B$18:$B$39,MATCH(C875,Dashboard!$A$18:$A$39,0)),""))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IF(OR(C876="",B876&lt;&gt;"Pengeluaran"),"",IFERROR(INDEX(Dashboard!$B$18:$B$39,MATCH(C876,Dashboard!$A$18:$A$39,0)),""))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IF(OR(C877="",B877&lt;&gt;"Pengeluaran"),"",IFERROR(INDEX(Dashboard!$B$18:$B$39,MATCH(C877,Dashboard!$A$18:$A$39,0)),""))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IF(OR(C878="",B878&lt;&gt;"Pengeluaran"),"",IFERROR(INDEX(Dashboard!$B$18:$B$39,MATCH(C878,Dashboard!$A$18:$A$39,0)),""))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IF(OR(C879="",B879&lt;&gt;"Pengeluaran"),"",IFERROR(INDEX(Dashboard!$B$18:$B$39,MATCH(C879,Dashboard!$A$18:$A$39,0)),""))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IF(OR(C880="",B880&lt;&gt;"Pengeluaran"),"",IFERROR(INDEX(Dashboard!$B$18:$B$39,MATCH(C880,Dashboard!$A$18:$A$39,0)),""))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IF(OR(C881="",B881&lt;&gt;"Pengeluaran"),"",IFERROR(INDEX(Dashboard!$B$18:$B$39,MATCH(C881,Dashboard!$A$18:$A$39,0)),""))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IF(OR(C882="",B882&lt;&gt;"Pengeluaran"),"",IFERROR(INDEX(Dashboard!$B$18:$B$39,MATCH(C882,Dashboard!$A$18:$A$39,0)),""))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IF(OR(C883="",B883&lt;&gt;"Pengeluaran"),"",IFERROR(INDEX(Dashboard!$B$18:$B$39,MATCH(C883,Dashboard!$A$18:$A$39,0)),""))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IF(OR(C884="",B884&lt;&gt;"Pengeluaran"),"",IFERROR(INDEX(Dashboard!$B$18:$B$39,MATCH(C884,Dashboard!$A$18:$A$39,0)),""))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IF(OR(C885="",B885&lt;&gt;"Pengeluaran"),"",IFERROR(INDEX(Dashboard!$B$18:$B$39,MATCH(C885,Dashboard!$A$18:$A$39,0)),""))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IF(OR(C886="",B886&lt;&gt;"Pengeluaran"),"",IFERROR(INDEX(Dashboard!$B$18:$B$39,MATCH(C886,Dashboard!$A$18:$A$39,0)),""))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IF(OR(C887="",B887&lt;&gt;"Pengeluaran"),"",IFERROR(INDEX(Dashboard!$B$18:$B$39,MATCH(C887,Dashboard!$A$18:$A$39,0)),""))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IF(OR(C888="",B888&lt;&gt;"Pengeluaran"),"",IFERROR(INDEX(Dashboard!$B$18:$B$39,MATCH(C888,Dashboard!$A$18:$A$39,0)),""))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IF(OR(C889="",B889&lt;&gt;"Pengeluaran"),"",IFERROR(INDEX(Dashboard!$B$18:$B$39,MATCH(C889,Dashboard!$A$18:$A$39,0)),""))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IF(OR(C890="",B890&lt;&gt;"Pengeluaran"),"",IFERROR(INDEX(Dashboard!$B$18:$B$39,MATCH(C890,Dashboard!$A$18:$A$39,0)),""))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IF(OR(C891="",B891&lt;&gt;"Pengeluaran"),"",IFERROR(INDEX(Dashboard!$B$18:$B$39,MATCH(C891,Dashboard!$A$18:$A$39,0)),""))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IF(OR(C892="",B892&lt;&gt;"Pengeluaran"),"",IFERROR(INDEX(Dashboard!$B$18:$B$39,MATCH(C892,Dashboard!$A$18:$A$39,0)),""))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IF(OR(C893="",B893&lt;&gt;"Pengeluaran"),"",IFERROR(INDEX(Dashboard!$B$18:$B$39,MATCH(C893,Dashboard!$A$18:$A$39,0)),""))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IF(OR(C894="",B894&lt;&gt;"Pengeluaran"),"",IFERROR(INDEX(Dashboard!$B$18:$B$39,MATCH(C894,Dashboard!$A$18:$A$39,0)),""))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IF(OR(C895="",B895&lt;&gt;"Pengeluaran"),"",IFERROR(INDEX(Dashboard!$B$18:$B$39,MATCH(C895,Dashboard!$A$18:$A$39,0)),""))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IF(OR(C896="",B896&lt;&gt;"Pengeluaran"),"",IFERROR(INDEX(Dashboard!$B$18:$B$39,MATCH(C896,Dashboard!$A$18:$A$39,0)),""))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IF(OR(C897="",B897&lt;&gt;"Pengeluaran"),"",IFERROR(INDEX(Dashboard!$B$18:$B$39,MATCH(C897,Dashboard!$A$18:$A$39,0)),""))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IF(OR(C898="",B898&lt;&gt;"Pengeluaran"),"",IFERROR(INDEX(Dashboard!$B$18:$B$39,MATCH(C898,Dashboard!$A$18:$A$39,0)),""))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IF(OR(C899="",B899&lt;&gt;"Pengeluaran"),"",IFERROR(INDEX(Dashboard!$B$18:$B$39,MATCH(C899,Dashboard!$A$18:$A$39,0)),""))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IF(OR(C900="",B900&lt;&gt;"Pengeluaran"),"",IFERROR(INDEX(Dashboard!$B$18:$B$39,MATCH(C900,Dashboard!$A$18:$A$39,0)),""))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IF(OR(C901="",B901&lt;&gt;"Pengeluaran"),"",IFERROR(INDEX(Dashboard!$B$18:$B$39,MATCH(C901,Dashboard!$A$18:$A$39,0)),""))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IF(OR(C902="",B902&lt;&gt;"Pengeluaran"),"",IFERROR(INDEX(Dashboard!$B$18:$B$39,MATCH(C902,Dashboard!$A$18:$A$39,0)),""))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IF(OR(C903="",B903&lt;&gt;"Pengeluaran"),"",IFERROR(INDEX(Dashboard!$B$18:$B$39,MATCH(C903,Dashboard!$A$18:$A$39,0)),""))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IF(OR(C904="",B904&lt;&gt;"Pengeluaran"),"",IFERROR(INDEX(Dashboard!$B$18:$B$39,MATCH(C904,Dashboard!$A$18:$A$39,0)),""))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IF(OR(C905="",B905&lt;&gt;"Pengeluaran"),"",IFERROR(INDEX(Dashboard!$B$18:$B$39,MATCH(C905,Dashboard!$A$18:$A$39,0)),""))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IF(OR(C906="",B906&lt;&gt;"Pengeluaran"),"",IFERROR(INDEX(Dashboard!$B$18:$B$39,MATCH(C906,Dashboard!$A$18:$A$39,0)),""))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IF(OR(C907="",B907&lt;&gt;"Pengeluaran"),"",IFERROR(INDEX(Dashboard!$B$18:$B$39,MATCH(C907,Dashboard!$A$18:$A$39,0)),""))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IF(OR(C908="",B908&lt;&gt;"Pengeluaran"),"",IFERROR(INDEX(Dashboard!$B$18:$B$39,MATCH(C908,Dashboard!$A$18:$A$39,0)),""))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IF(OR(C909="",B909&lt;&gt;"Pengeluaran"),"",IFERROR(INDEX(Dashboard!$B$18:$B$39,MATCH(C909,Dashboard!$A$18:$A$39,0)),""))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IF(OR(C910="",B910&lt;&gt;"Pengeluaran"),"",IFERROR(INDEX(Dashboard!$B$18:$B$39,MATCH(C910,Dashboard!$A$18:$A$39,0)),""))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IF(OR(C911="",B911&lt;&gt;"Pengeluaran"),"",IFERROR(INDEX(Dashboard!$B$18:$B$39,MATCH(C911,Dashboard!$A$18:$A$39,0)),""))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IF(OR(C912="",B912&lt;&gt;"Pengeluaran"),"",IFERROR(INDEX(Dashboard!$B$18:$B$39,MATCH(C912,Dashboard!$A$18:$A$39,0)),""))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IF(OR(C913="",B913&lt;&gt;"Pengeluaran"),"",IFERROR(INDEX(Dashboard!$B$18:$B$39,MATCH(C913,Dashboard!$A$18:$A$39,0)),""))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IF(OR(C914="",B914&lt;&gt;"Pengeluaran"),"",IFERROR(INDEX(Dashboard!$B$18:$B$39,MATCH(C914,Dashboard!$A$18:$A$39,0)),""))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IF(OR(C915="",B915&lt;&gt;"Pengeluaran"),"",IFERROR(INDEX(Dashboard!$B$18:$B$39,MATCH(C915,Dashboard!$A$18:$A$39,0)),""))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IF(OR(C916="",B916&lt;&gt;"Pengeluaran"),"",IFERROR(INDEX(Dashboard!$B$18:$B$39,MATCH(C916,Dashboard!$A$18:$A$39,0)),""))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IF(OR(C917="",B917&lt;&gt;"Pengeluaran"),"",IFERROR(INDEX(Dashboard!$B$18:$B$39,MATCH(C917,Dashboard!$A$18:$A$39,0)),""))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IF(OR(C918="",B918&lt;&gt;"Pengeluaran"),"",IFERROR(INDEX(Dashboard!$B$18:$B$39,MATCH(C918,Dashboard!$A$18:$A$39,0)),""))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IF(OR(C919="",B919&lt;&gt;"Pengeluaran"),"",IFERROR(INDEX(Dashboard!$B$18:$B$39,MATCH(C919,Dashboard!$A$18:$A$39,0)),""))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IF(OR(C920="",B920&lt;&gt;"Pengeluaran"),"",IFERROR(INDEX(Dashboard!$B$18:$B$39,MATCH(C920,Dashboard!$A$18:$A$39,0)),""))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IF(OR(C921="",B921&lt;&gt;"Pengeluaran"),"",IFERROR(INDEX(Dashboard!$B$18:$B$39,MATCH(C921,Dashboard!$A$18:$A$39,0)),""))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IF(OR(C922="",B922&lt;&gt;"Pengeluaran"),"",IFERROR(INDEX(Dashboard!$B$18:$B$39,MATCH(C922,Dashboard!$A$18:$A$39,0)),""))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IF(OR(C923="",B923&lt;&gt;"Pengeluaran"),"",IFERROR(INDEX(Dashboard!$B$18:$B$39,MATCH(C923,Dashboard!$A$18:$A$39,0)),""))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IF(OR(C924="",B924&lt;&gt;"Pengeluaran"),"",IFERROR(INDEX(Dashboard!$B$18:$B$39,MATCH(C924,Dashboard!$A$18:$A$39,0)),""))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IF(OR(C925="",B925&lt;&gt;"Pengeluaran"),"",IFERROR(INDEX(Dashboard!$B$18:$B$39,MATCH(C925,Dashboard!$A$18:$A$39,0)),""))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IF(OR(C926="",B926&lt;&gt;"Pengeluaran"),"",IFERROR(INDEX(Dashboard!$B$18:$B$39,MATCH(C926,Dashboard!$A$18:$A$39,0)),""))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IF(OR(C927="",B927&lt;&gt;"Pengeluaran"),"",IFERROR(INDEX(Dashboard!$B$18:$B$39,MATCH(C927,Dashboard!$A$18:$A$39,0)),""))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IF(OR(C928="",B928&lt;&gt;"Pengeluaran"),"",IFERROR(INDEX(Dashboard!$B$18:$B$39,MATCH(C928,Dashboard!$A$18:$A$39,0)),""))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IF(OR(C929="",B929&lt;&gt;"Pengeluaran"),"",IFERROR(INDEX(Dashboard!$B$18:$B$39,MATCH(C929,Dashboard!$A$18:$A$39,0)),""))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IF(OR(C930="",B930&lt;&gt;"Pengeluaran"),"",IFERROR(INDEX(Dashboard!$B$18:$B$39,MATCH(C930,Dashboard!$A$18:$A$39,0)),""))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IF(OR(C931="",B931&lt;&gt;"Pengeluaran"),"",IFERROR(INDEX(Dashboard!$B$18:$B$39,MATCH(C931,Dashboard!$A$18:$A$39,0)),""))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IF(OR(C932="",B932&lt;&gt;"Pengeluaran"),"",IFERROR(INDEX(Dashboard!$B$18:$B$39,MATCH(C932,Dashboard!$A$18:$A$39,0)),""))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IF(OR(C933="",B933&lt;&gt;"Pengeluaran"),"",IFERROR(INDEX(Dashboard!$B$18:$B$39,MATCH(C933,Dashboard!$A$18:$A$39,0)),""))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IF(OR(C934="",B934&lt;&gt;"Pengeluaran"),"",IFERROR(INDEX(Dashboard!$B$18:$B$39,MATCH(C934,Dashboard!$A$18:$A$39,0)),""))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IF(OR(C935="",B935&lt;&gt;"Pengeluaran"),"",IFERROR(INDEX(Dashboard!$B$18:$B$39,MATCH(C935,Dashboard!$A$18:$A$39,0)),""))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IF(OR(C936="",B936&lt;&gt;"Pengeluaran"),"",IFERROR(INDEX(Dashboard!$B$18:$B$39,MATCH(C936,Dashboard!$A$18:$A$39,0)),""))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IF(OR(C937="",B937&lt;&gt;"Pengeluaran"),"",IFERROR(INDEX(Dashboard!$B$18:$B$39,MATCH(C937,Dashboard!$A$18:$A$39,0)),""))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IF(OR(C938="",B938&lt;&gt;"Pengeluaran"),"",IFERROR(INDEX(Dashboard!$B$18:$B$39,MATCH(C938,Dashboard!$A$18:$A$39,0)),""))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IF(OR(C939="",B939&lt;&gt;"Pengeluaran"),"",IFERROR(INDEX(Dashboard!$B$18:$B$39,MATCH(C939,Dashboard!$A$18:$A$39,0)),""))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IF(OR(C940="",B940&lt;&gt;"Pengeluaran"),"",IFERROR(INDEX(Dashboard!$B$18:$B$39,MATCH(C940,Dashboard!$A$18:$A$39,0)),""))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IF(OR(C941="",B941&lt;&gt;"Pengeluaran"),"",IFERROR(INDEX(Dashboard!$B$18:$B$39,MATCH(C941,Dashboard!$A$18:$A$39,0)),""))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IF(OR(C942="",B942&lt;&gt;"Pengeluaran"),"",IFERROR(INDEX(Dashboard!$B$18:$B$39,MATCH(C942,Dashboard!$A$18:$A$39,0)),""))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IF(OR(C943="",B943&lt;&gt;"Pengeluaran"),"",IFERROR(INDEX(Dashboard!$B$18:$B$39,MATCH(C943,Dashboard!$A$18:$A$39,0)),""))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IF(OR(C944="",B944&lt;&gt;"Pengeluaran"),"",IFERROR(INDEX(Dashboard!$B$18:$B$39,MATCH(C944,Dashboard!$A$18:$A$39,0)),""))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IF(OR(C945="",B945&lt;&gt;"Pengeluaran"),"",IFERROR(INDEX(Dashboard!$B$18:$B$39,MATCH(C945,Dashboard!$A$18:$A$39,0)),""))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IF(OR(C946="",B946&lt;&gt;"Pengeluaran"),"",IFERROR(INDEX(Dashboard!$B$18:$B$39,MATCH(C946,Dashboard!$A$18:$A$39,0)),""))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IF(OR(C947="",B947&lt;&gt;"Pengeluaran"),"",IFERROR(INDEX(Dashboard!$B$18:$B$39,MATCH(C947,Dashboard!$A$18:$A$39,0)),""))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IF(OR(C948="",B948&lt;&gt;"Pengeluaran"),"",IFERROR(INDEX(Dashboard!$B$18:$B$39,MATCH(C948,Dashboard!$A$18:$A$39,0)),""))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IF(OR(C949="",B949&lt;&gt;"Pengeluaran"),"",IFERROR(INDEX(Dashboard!$B$18:$B$39,MATCH(C949,Dashboard!$A$18:$A$39,0)),""))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IF(OR(C950="",B950&lt;&gt;"Pengeluaran"),"",IFERROR(INDEX(Dashboard!$B$18:$B$39,MATCH(C950,Dashboard!$A$18:$A$39,0)),""))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IF(OR(C951="",B951&lt;&gt;"Pengeluaran"),"",IFERROR(INDEX(Dashboard!$B$18:$B$39,MATCH(C951,Dashboard!$A$18:$A$39,0)),""))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IF(OR(C952="",B952&lt;&gt;"Pengeluaran"),"",IFERROR(INDEX(Dashboard!$B$18:$B$39,MATCH(C952,Dashboard!$A$18:$A$39,0)),""))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IF(OR(C953="",B953&lt;&gt;"Pengeluaran"),"",IFERROR(INDEX(Dashboard!$B$18:$B$39,MATCH(C953,Dashboard!$A$18:$A$39,0)),""))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IF(OR(C954="",B954&lt;&gt;"Pengeluaran"),"",IFERROR(INDEX(Dashboard!$B$18:$B$39,MATCH(C954,Dashboard!$A$18:$A$39,0)),""))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IF(OR(C955="",B955&lt;&gt;"Pengeluaran"),"",IFERROR(INDEX(Dashboard!$B$18:$B$39,MATCH(C955,Dashboard!$A$18:$A$39,0)),""))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IF(OR(C956="",B956&lt;&gt;"Pengeluaran"),"",IFERROR(INDEX(Dashboard!$B$18:$B$39,MATCH(C956,Dashboard!$A$18:$A$39,0)),""))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IF(OR(C957="",B957&lt;&gt;"Pengeluaran"),"",IFERROR(INDEX(Dashboard!$B$18:$B$39,MATCH(C957,Dashboard!$A$18:$A$39,0)),""))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IF(OR(C958="",B958&lt;&gt;"Pengeluaran"),"",IFERROR(INDEX(Dashboard!$B$18:$B$39,MATCH(C958,Dashboard!$A$18:$A$39,0)),""))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IF(OR(C959="",B959&lt;&gt;"Pengeluaran"),"",IFERROR(INDEX(Dashboard!$B$18:$B$39,MATCH(C959,Dashboard!$A$18:$A$39,0)),""))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IF(OR(C960="",B960&lt;&gt;"Pengeluaran"),"",IFERROR(INDEX(Dashboard!$B$18:$B$39,MATCH(C960,Dashboard!$A$18:$A$39,0)),""))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IF(OR(C961="",B961&lt;&gt;"Pengeluaran"),"",IFERROR(INDEX(Dashboard!$B$18:$B$39,MATCH(C961,Dashboard!$A$18:$A$39,0)),""))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IF(OR(C962="",B962&lt;&gt;"Pengeluaran"),"",IFERROR(INDEX(Dashboard!$B$18:$B$39,MATCH(C962,Dashboard!$A$18:$A$39,0)),""))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IF(OR(C963="",B963&lt;&gt;"Pengeluaran"),"",IFERROR(INDEX(Dashboard!$B$18:$B$39,MATCH(C963,Dashboard!$A$18:$A$39,0)),""))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IF(OR(C964="",B964&lt;&gt;"Pengeluaran"),"",IFERROR(INDEX(Dashboard!$B$18:$B$39,MATCH(C964,Dashboard!$A$18:$A$39,0)),""))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IF(OR(C965="",B965&lt;&gt;"Pengeluaran"),"",IFERROR(INDEX(Dashboard!$B$18:$B$39,MATCH(C965,Dashboard!$A$18:$A$39,0)),""))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IF(OR(C966="",B966&lt;&gt;"Pengeluaran"),"",IFERROR(INDEX(Dashboard!$B$18:$B$39,MATCH(C966,Dashboard!$A$18:$A$39,0)),""))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IF(OR(C967="",B967&lt;&gt;"Pengeluaran"),"",IFERROR(INDEX(Dashboard!$B$18:$B$39,MATCH(C967,Dashboard!$A$18:$A$39,0)),""))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IF(OR(C968="",B968&lt;&gt;"Pengeluaran"),"",IFERROR(INDEX(Dashboard!$B$18:$B$39,MATCH(C968,Dashboard!$A$18:$A$39,0)),""))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IF(OR(C969="",B969&lt;&gt;"Pengeluaran"),"",IFERROR(INDEX(Dashboard!$B$18:$B$39,MATCH(C969,Dashboard!$A$18:$A$39,0)),""))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IF(OR(C970="",B970&lt;&gt;"Pengeluaran"),"",IFERROR(INDEX(Dashboard!$B$18:$B$39,MATCH(C970,Dashboard!$A$18:$A$39,0)),""))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IF(OR(C971="",B971&lt;&gt;"Pengeluaran"),"",IFERROR(INDEX(Dashboard!$B$18:$B$39,MATCH(C971,Dashboard!$A$18:$A$39,0)),""))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IF(OR(C972="",B972&lt;&gt;"Pengeluaran"),"",IFERROR(INDEX(Dashboard!$B$18:$B$39,MATCH(C972,Dashboard!$A$18:$A$39,0)),""))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IF(OR(C973="",B973&lt;&gt;"Pengeluaran"),"",IFERROR(INDEX(Dashboard!$B$18:$B$39,MATCH(C973,Dashboard!$A$18:$A$39,0)),""))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IF(OR(C974="",B974&lt;&gt;"Pengeluaran"),"",IFERROR(INDEX(Dashboard!$B$18:$B$39,MATCH(C974,Dashboard!$A$18:$A$39,0)),""))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IF(OR(C975="",B975&lt;&gt;"Pengeluaran"),"",IFERROR(INDEX(Dashboard!$B$18:$B$39,MATCH(C975,Dashboard!$A$18:$A$39,0)),""))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IF(OR(C976="",B976&lt;&gt;"Pengeluaran"),"",IFERROR(INDEX(Dashboard!$B$18:$B$39,MATCH(C976,Dashboard!$A$18:$A$39,0)),""))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IF(OR(C977="",B977&lt;&gt;"Pengeluaran"),"",IFERROR(INDEX(Dashboard!$B$18:$B$39,MATCH(C977,Dashboard!$A$18:$A$39,0)),""))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IF(OR(C978="",B978&lt;&gt;"Pengeluaran"),"",IFERROR(INDEX(Dashboard!$B$18:$B$39,MATCH(C978,Dashboard!$A$18:$A$39,0)),""))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IF(OR(C979="",B979&lt;&gt;"Pengeluaran"),"",IFERROR(INDEX(Dashboard!$B$18:$B$39,MATCH(C979,Dashboard!$A$18:$A$39,0)),""))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IF(OR(C980="",B980&lt;&gt;"Pengeluaran"),"",IFERROR(INDEX(Dashboard!$B$18:$B$39,MATCH(C980,Dashboard!$A$18:$A$39,0)),""))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IF(OR(C981="",B981&lt;&gt;"Pengeluaran"),"",IFERROR(INDEX(Dashboard!$B$18:$B$39,MATCH(C981,Dashboard!$A$18:$A$39,0)),""))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IF(OR(C982="",B982&lt;&gt;"Pengeluaran"),"",IFERROR(INDEX(Dashboard!$B$18:$B$39,MATCH(C982,Dashboard!$A$18:$A$39,0)),""))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IF(OR(C983="",B983&lt;&gt;"Pengeluaran"),"",IFERROR(INDEX(Dashboard!$B$18:$B$39,MATCH(C983,Dashboard!$A$18:$A$39,0)),""))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IF(OR(C984="",B984&lt;&gt;"Pengeluaran"),"",IFERROR(INDEX(Dashboard!$B$18:$B$39,MATCH(C984,Dashboard!$A$18:$A$39,0)),""))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IF(OR(C985="",B985&lt;&gt;"Pengeluaran"),"",IFERROR(INDEX(Dashboard!$B$18:$B$39,MATCH(C985,Dashboard!$A$18:$A$39,0)),""))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IF(OR(C986="",B986&lt;&gt;"Pengeluaran"),"",IFERROR(INDEX(Dashboard!$B$18:$B$39,MATCH(C986,Dashboard!$A$18:$A$39,0)),""))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IF(OR(C987="",B987&lt;&gt;"Pengeluaran"),"",IFERROR(INDEX(Dashboard!$B$18:$B$39,MATCH(C987,Dashboard!$A$18:$A$39,0)),""))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IF(OR(C988="",B988&lt;&gt;"Pengeluaran"),"",IFERROR(INDEX(Dashboard!$B$18:$B$39,MATCH(C988,Dashboard!$A$18:$A$39,0)),""))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IF(OR(C989="",B989&lt;&gt;"Pengeluaran"),"",IFERROR(INDEX(Dashboard!$B$18:$B$39,MATCH(C989,Dashboard!$A$18:$A$39,0)),""))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IF(OR(C990="",B990&lt;&gt;"Pengeluaran"),"",IFERROR(INDEX(Dashboard!$B$18:$B$39,MATCH(C990,Dashboard!$A$18:$A$39,0)),""))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IF(OR(C991="",B991&lt;&gt;"Pengeluaran"),"",IFERROR(INDEX(Dashboard!$B$18:$B$39,MATCH(C991,Dashboard!$A$18:$A$39,0)),""))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IF(OR(C992="",B992&lt;&gt;"Pengeluaran"),"",IFERROR(INDEX(Dashboard!$B$18:$B$39,MATCH(C992,Dashboard!$A$18:$A$39,0)),""))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IF(OR(C993="",B993&lt;&gt;"Pengeluaran"),"",IFERROR(INDEX(Dashboard!$B$18:$B$39,MATCH(C993,Dashboard!$A$18:$A$39,0)),""))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IF(OR(C994="",B994&lt;&gt;"Pengeluaran"),"",IFERROR(INDEX(Dashboard!$B$18:$B$39,MATCH(C994,Dashboard!$A$18:$A$39,0)),""))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IF(OR(C995="",B995&lt;&gt;"Pengeluaran"),"",IFERROR(INDEX(Dashboard!$B$18:$B$39,MATCH(C995,Dashboard!$A$18:$A$39,0)),""))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IF(OR(C996="",B996&lt;&gt;"Pengeluaran"),"",IFERROR(INDEX(Dashboard!$B$18:$B$39,MATCH(C996,Dashboard!$A$18:$A$39,0)),""))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IF(OR(C997="",B997&lt;&gt;"Pengeluaran"),"",IFERROR(INDEX(Dashboard!$B$18:$B$39,MATCH(C997,Dashboard!$A$18:$A$39,0)),""))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IF(OR(C998="",B998&lt;&gt;"Pengeluaran"),"",IFERROR(INDEX(Dashboard!$B$18:$B$39,MATCH(C998,Dashboard!$A$18:$A$39,0)),""))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IF(OR(C999="",B999&lt;&gt;"Pengeluaran"),"",IFERROR(INDEX(Dashboard!$B$18:$B$39,MATCH(C999,Dashboard!$A$18:$A$39,0)),""))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IF(OR(C1000="",B1000&lt;&gt;"Pengeluaran"),"",IFERROR(INDEX(Dashboard!$B$18:$B$39,MATCH(C1000,Dashboard!$A$18:$A$39,0)),""))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IF(OR(C1001="",B1001&lt;&gt;"Pengeluaran"),"",IFERROR(INDEX(Dashboard!$B$18:$B$39,MATCH(C1001,Dashboard!$A$18:$A$39,0)),""))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IF(OR(C1002="",B1002&lt;&gt;"Pengeluaran"),"",IFERROR(INDEX(Dashboard!$B$18:$B$39,MATCH(C1002,Dashboard!$A$18:$A$39,0)),""))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IF(OR(C1003="",B1003&lt;&gt;"Pengeluaran"),"",IFERROR(INDEX(Dashboard!$B$18:$B$39,MATCH(C1003,Dashboard!$A$18:$A$39,0)),""))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IF(OR(C1004="",B1004&lt;&gt;"Pengeluaran"),"",IFERROR(INDEX(Dashboard!$B$18:$B$39,MATCH(C1004,Dashboard!$A$18:$A$39,0)),""))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IF(OR(C1005="",B1005&lt;&gt;"Pengeluaran"),"",IFERROR(INDEX(Dashboard!$B$18:$B$39,MATCH(C1005,Dashboard!$A$18:$A$39,0)),""))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IF(OR(C1006="",B1006&lt;&gt;"Pengeluaran"),"",IFERROR(INDEX(Dashboard!$B$18:$B$39,MATCH(C1006,Dashboard!$A$18:$A$39,0)),""))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Dashboard!$A$18:$A$39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7" t="s">
        <v>55</v>
      </c>
      <c r="B3" s="9" t="n">
        <v>1</v>
      </c>
      <c r="C3" s="27" t="s">
        <v>56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57</v>
      </c>
    </row>
    <row r="6" customFormat="false" ht="15" hidden="false" customHeight="false" outlineLevel="0" collapsed="false">
      <c r="A6" s="10" t="s">
        <v>52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</row>
    <row r="7" customFormat="false" ht="15" hidden="false" customHeight="false" outlineLevel="0" collapsed="false">
      <c r="A7" s="29" t="s">
        <v>22</v>
      </c>
      <c r="B7" s="12" t="n">
        <f aca="false">INDEX(Mulai!$B$22:$B$25,MATCH(A7,Mulai!$A$22:$A$25,0))</f>
        <v>0.2</v>
      </c>
      <c r="C7" s="12" t="n">
        <f aca="false">SUMIFS($C$18:$C$39,$B$18:$B$39,A7)</f>
        <v>1</v>
      </c>
      <c r="D7" s="13" t="n">
        <f aca="false">SUMIFS($D$18:$D$39,$B$18:$B$39,A7)</f>
        <v>30000000</v>
      </c>
      <c r="E7" s="13" t="n">
        <f aca="false">SUMIFS($E$18:$E$39,$B$18:$B$39,A7)</f>
        <v>0</v>
      </c>
      <c r="F7" s="13" t="n">
        <f aca="false">D7-E7</f>
        <v>30000000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INDEX(Mulai!$B$22:$B$25,MATCH(A8,Mulai!$A$22:$A$25,0))</f>
        <v>0.15</v>
      </c>
      <c r="C8" s="12" t="n">
        <f aca="false">SUMIFS($C$18:$C$39,$B$18:$B$39,A8)</f>
        <v>1</v>
      </c>
      <c r="D8" s="13" t="n">
        <f aca="false">SUMIFS($D$18:$D$39,$B$18:$B$39,A8)</f>
        <v>22500000</v>
      </c>
      <c r="E8" s="13" t="n">
        <f aca="false">SUMIFS($E$18:$E$39,$B$18:$B$39,A8)</f>
        <v>0</v>
      </c>
      <c r="F8" s="13" t="n">
        <f aca="false">D8-E8</f>
        <v>22500000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INDEX(Mulai!$B$22:$B$25,MATCH(A9,Mulai!$A$22:$A$25,0))</f>
        <v>0.2</v>
      </c>
      <c r="C9" s="12" t="n">
        <f aca="false">SUMIFS($C$18:$C$39,$B$18:$B$39,A9)</f>
        <v>1</v>
      </c>
      <c r="D9" s="13" t="n">
        <f aca="false">SUMIFS($D$18:$D$39,$B$18:$B$39,A9)</f>
        <v>30000000</v>
      </c>
      <c r="E9" s="13" t="n">
        <f aca="false">SUMIFS($E$18:$E$39,$B$18:$B$39,A9)</f>
        <v>0</v>
      </c>
      <c r="F9" s="13" t="n">
        <f aca="false">D9-E9</f>
        <v>30000000</v>
      </c>
      <c r="G9" s="12" t="n">
        <f aca="false">IF(D9=0,0,E9/D9)</f>
        <v>0</v>
      </c>
      <c r="H9" s="30" t="str">
        <f aca="false">IF(ROUND(C9,4)=1,"OK","Porsi harus 100%")</f>
        <v>OK</v>
      </c>
    </row>
    <row r="10" customFormat="false" ht="15" hidden="false" customHeight="false" outlineLevel="0" collapsed="false">
      <c r="A10" s="29" t="s">
        <v>25</v>
      </c>
      <c r="B10" s="12" t="n">
        <f aca="false">INDEX(Mulai!$B$22:$B$25,MATCH(A10,Mulai!$A$22:$A$25,0))</f>
        <v>0.45</v>
      </c>
      <c r="C10" s="12" t="n">
        <f aca="false">SUMIFS($C$18:$C$39,$B$18:$B$39,A10)</f>
        <v>1</v>
      </c>
      <c r="D10" s="13" t="n">
        <f aca="false">SUMIFS($D$18:$D$39,$B$18:$B$39,A10)</f>
        <v>67500000</v>
      </c>
      <c r="E10" s="13" t="n">
        <f aca="false">SUMIFS($E$18:$E$39,$B$18:$B$39,A10)</f>
        <v>0</v>
      </c>
      <c r="F10" s="13" t="n">
        <f aca="false">D10-E10</f>
        <v>67500000</v>
      </c>
      <c r="G10" s="12" t="n">
        <f aca="false">IF(D10=0,0,E10/D10)</f>
        <v>0</v>
      </c>
      <c r="H10" s="30" t="str">
        <f aca="false">IF(ROUND(C10,4)=1,"OK","Porsi harus 100%")</f>
        <v>OK</v>
      </c>
    </row>
    <row r="12" customFormat="false" ht="15" hidden="false" customHeight="false" outlineLevel="0" collapsed="false">
      <c r="A12" s="7" t="s">
        <v>65</v>
      </c>
      <c r="D12" s="8" t="n">
        <f aca="false">SUMIFS(Transaksi!$E$7:$E$1006,Transaksi!$B$7:$B$1006,"Pemasukan",Transaksi!$F$7:$F$1006,$B$3,Transaksi!$G$7:$G$1006,Mulai!$B$17)</f>
        <v>0</v>
      </c>
    </row>
    <row r="13" customFormat="false" ht="15" hidden="false" customHeight="false" outlineLevel="0" collapsed="false">
      <c r="A13" s="7" t="s">
        <v>66</v>
      </c>
      <c r="D13" s="8" t="n">
        <f aca="false">SUM(E7:E10)</f>
        <v>0</v>
      </c>
    </row>
    <row r="14" customFormat="false" ht="15" hidden="false" customHeight="false" outlineLevel="0" collapsed="false">
      <c r="A14" s="7" t="s">
        <v>67</v>
      </c>
      <c r="D14" s="8" t="n">
        <f aca="false">D12-D13</f>
        <v>0</v>
      </c>
    </row>
    <row r="16" customFormat="false" ht="15" hidden="false" customHeight="false" outlineLevel="0" collapsed="false">
      <c r="A16" s="3" t="s">
        <v>68</v>
      </c>
    </row>
    <row r="17" customFormat="false" ht="15" hidden="false" customHeight="false" outlineLevel="0" collapsed="false">
      <c r="A17" s="10" t="s">
        <v>47</v>
      </c>
      <c r="B17" s="10" t="s">
        <v>52</v>
      </c>
      <c r="C17" s="10" t="s">
        <v>69</v>
      </c>
      <c r="D17" s="10" t="s">
        <v>60</v>
      </c>
      <c r="E17" s="10" t="s">
        <v>61</v>
      </c>
      <c r="F17" s="10" t="s">
        <v>62</v>
      </c>
      <c r="G17" s="10" t="s">
        <v>63</v>
      </c>
      <c r="H17" s="10" t="s">
        <v>70</v>
      </c>
    </row>
    <row r="18" customFormat="false" ht="15" hidden="false" customHeight="false" outlineLevel="0" collapsed="false">
      <c r="A18" s="11" t="s">
        <v>71</v>
      </c>
      <c r="B18" s="11" t="s">
        <v>22</v>
      </c>
      <c r="C18" s="18" t="n">
        <v>0.67</v>
      </c>
      <c r="D18" s="13" t="n">
        <f aca="false">C18*INDEX(Mulai!$C$22:$C$25,MATCH(B18,Mulai!$A$22:$A$25,0))</f>
        <v>20100000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20100000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72</v>
      </c>
      <c r="B19" s="11" t="s">
        <v>22</v>
      </c>
      <c r="C19" s="18" t="n">
        <v>0.27</v>
      </c>
      <c r="D19" s="13" t="n">
        <f aca="false">C19*INDEX(Mulai!$C$22:$C$25,MATCH(B19,Mulai!$A$22:$A$25,0))</f>
        <v>8100000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8100000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73</v>
      </c>
      <c r="B20" s="11" t="s">
        <v>22</v>
      </c>
      <c r="C20" s="18" t="n">
        <v>0.06</v>
      </c>
      <c r="D20" s="13" t="n">
        <f aca="false">C20*INDEX(Mulai!$C$22:$C$25,MATCH(B20,Mulai!$A$22:$A$25,0))</f>
        <v>1800000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1800000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74</v>
      </c>
      <c r="B21" s="11" t="s">
        <v>22</v>
      </c>
      <c r="C21" s="18" t="n">
        <v>0</v>
      </c>
      <c r="D21" s="13" t="n">
        <f aca="false">C21*INDEX(Mulai!$C$22:$C$25,MATCH(B21,Mulai!$A$22:$A$25,0))</f>
        <v>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0</v>
      </c>
      <c r="G21" s="12" t="n">
        <f aca="false">IF(D21=0,0,E21/D21)</f>
        <v>0</v>
      </c>
      <c r="H21" s="30" t="str">
        <f aca="false">IF(D21=0,"-",IF(E21&gt;D21,"Melebihi",IF(E21&gt;=0.8*D21,"Hampir habis","Aman")))</f>
        <v>-</v>
      </c>
    </row>
    <row r="22" customFormat="false" ht="15" hidden="false" customHeight="false" outlineLevel="0" collapsed="false">
      <c r="A22" s="11" t="s">
        <v>42</v>
      </c>
      <c r="B22" s="11" t="s">
        <v>23</v>
      </c>
      <c r="C22" s="18" t="n">
        <v>0.3</v>
      </c>
      <c r="D22" s="13" t="n">
        <f aca="false">C22*INDEX(Mulai!$C$22:$C$25,MATCH(B22,Mulai!$A$22:$A$25,0))</f>
        <v>6750000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6750000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23</v>
      </c>
      <c r="C23" s="18" t="n">
        <v>0.15</v>
      </c>
      <c r="D23" s="13" t="n">
        <f aca="false">C23*INDEX(Mulai!$C$22:$C$25,MATCH(B23,Mulai!$A$22:$A$25,0))</f>
        <v>3375000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3375000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23</v>
      </c>
      <c r="C24" s="18" t="n">
        <v>0.12</v>
      </c>
      <c r="D24" s="13" t="n">
        <f aca="false">C24*INDEX(Mulai!$C$22:$C$25,MATCH(B24,Mulai!$A$22:$A$25,0))</f>
        <v>2700000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2700000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23</v>
      </c>
      <c r="C25" s="18" t="n">
        <v>0.08</v>
      </c>
      <c r="D25" s="13" t="n">
        <f aca="false">C25*INDEX(Mulai!$C$22:$C$25,MATCH(B25,Mulai!$A$22:$A$25,0))</f>
        <v>1800000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1800000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23</v>
      </c>
      <c r="C26" s="18" t="n">
        <v>0.03</v>
      </c>
      <c r="D26" s="13" t="n">
        <f aca="false">C26*INDEX(Mulai!$C$22:$C$25,MATCH(B26,Mulai!$A$22:$A$25,0))</f>
        <v>675000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675000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23</v>
      </c>
      <c r="C27" s="18" t="n">
        <v>0.07</v>
      </c>
      <c r="D27" s="13" t="n">
        <f aca="false">C27*INDEX(Mulai!$C$22:$C$25,MATCH(B27,Mulai!$A$22:$A$25,0))</f>
        <v>1575000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1575000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0.08</v>
      </c>
      <c r="D28" s="13" t="n">
        <f aca="false">C28*INDEX(Mulai!$C$22:$C$25,MATCH(B28,Mulai!$A$22:$A$25,0))</f>
        <v>1800000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1800000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0.06</v>
      </c>
      <c r="D29" s="13" t="n">
        <f aca="false">C29*INDEX(Mulai!$C$22:$C$25,MATCH(B29,Mulai!$A$22:$A$25,0))</f>
        <v>1350000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1350000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0.05</v>
      </c>
      <c r="D30" s="13" t="n">
        <f aca="false">C30*INDEX(Mulai!$C$22:$C$25,MATCH(B30,Mulai!$A$22:$A$25,0))</f>
        <v>1125000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1125000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0.03</v>
      </c>
      <c r="D31" s="13" t="n">
        <f aca="false">C31*INDEX(Mulai!$C$22:$C$25,MATCH(B31,Mulai!$A$22:$A$25,0))</f>
        <v>675000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675000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23</v>
      </c>
      <c r="C32" s="18" t="n">
        <v>0.03</v>
      </c>
      <c r="D32" s="13" t="n">
        <f aca="false">C32*INDEX(Mulai!$C$22:$C$25,MATCH(B32,Mulai!$A$22:$A$25,0))</f>
        <v>675000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675000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0.35</v>
      </c>
      <c r="D33" s="13" t="n">
        <f aca="false">C33*INDEX(Mulai!$C$22:$C$25,MATCH(B33,Mulai!$A$22:$A$25,0))</f>
        <v>10500000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10500000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0.2</v>
      </c>
      <c r="D34" s="13" t="n">
        <f aca="false">C34*INDEX(Mulai!$C$22:$C$25,MATCH(B34,Mulai!$A$22:$A$25,0))</f>
        <v>6000000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6000000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0.25</v>
      </c>
      <c r="D35" s="13" t="n">
        <f aca="false">C35*INDEX(Mulai!$C$22:$C$25,MATCH(B35,Mulai!$A$22:$A$25,0))</f>
        <v>7500000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7500000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24</v>
      </c>
      <c r="C36" s="18" t="n">
        <v>0.2</v>
      </c>
      <c r="D36" s="13" t="n">
        <f aca="false">C36*INDEX(Mulai!$C$22:$C$25,MATCH(B36,Mulai!$A$22:$A$25,0))</f>
        <v>6000000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6000000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7" customFormat="false" ht="15" hidden="false" customHeight="false" outlineLevel="0" collapsed="false">
      <c r="A37" s="11" t="s">
        <v>89</v>
      </c>
      <c r="B37" s="11" t="s">
        <v>25</v>
      </c>
      <c r="C37" s="18" t="n">
        <v>0.5</v>
      </c>
      <c r="D37" s="13" t="n">
        <f aca="false">C37*INDEX(Mulai!$C$22:$C$25,MATCH(B37,Mulai!$A$22:$A$25,0))</f>
        <v>33750000</v>
      </c>
      <c r="E37" s="13" t="n">
        <f aca="false">SUMIFS(Transaksi!$E$7:$E$1006,Transaksi!$B$7:$B$1006,"Pengeluaran",Transaksi!$C$7:$C$1006,A37,Transaksi!$F$7:$F$1006,$B$3,Transaksi!$G$7:$G$1006,Mulai!$B$17)</f>
        <v>0</v>
      </c>
      <c r="F37" s="13" t="n">
        <f aca="false">D37-E37</f>
        <v>33750000</v>
      </c>
      <c r="G37" s="12" t="n">
        <f aca="false">IF(D37=0,0,E37/D37)</f>
        <v>0</v>
      </c>
      <c r="H37" s="30" t="str">
        <f aca="false">IF(D37=0,"-",IF(E37&gt;D37,"Melebihi",IF(E37&gt;=0.8*D37,"Hampir habis","Aman")))</f>
        <v>Aman</v>
      </c>
    </row>
    <row r="38" customFormat="false" ht="15" hidden="false" customHeight="false" outlineLevel="0" collapsed="false">
      <c r="A38" s="11" t="s">
        <v>90</v>
      </c>
      <c r="B38" s="11" t="s">
        <v>25</v>
      </c>
      <c r="C38" s="18" t="n">
        <v>0.3</v>
      </c>
      <c r="D38" s="13" t="n">
        <f aca="false">C38*INDEX(Mulai!$C$22:$C$25,MATCH(B38,Mulai!$A$22:$A$25,0))</f>
        <v>20250000</v>
      </c>
      <c r="E38" s="13" t="n">
        <f aca="false">SUMIFS(Transaksi!$E$7:$E$1006,Transaksi!$B$7:$B$1006,"Pengeluaran",Transaksi!$C$7:$C$1006,A38,Transaksi!$F$7:$F$1006,$B$3,Transaksi!$G$7:$G$1006,Mulai!$B$17)</f>
        <v>0</v>
      </c>
      <c r="F38" s="13" t="n">
        <f aca="false">D38-E38</f>
        <v>20250000</v>
      </c>
      <c r="G38" s="12" t="n">
        <f aca="false">IF(D38=0,0,E38/D38)</f>
        <v>0</v>
      </c>
      <c r="H38" s="30" t="str">
        <f aca="false">IF(D38=0,"-",IF(E38&gt;D38,"Melebihi",IF(E38&gt;=0.8*D38,"Hampir habis","Aman")))</f>
        <v>Aman</v>
      </c>
    </row>
    <row r="39" customFormat="false" ht="15" hidden="false" customHeight="false" outlineLevel="0" collapsed="false">
      <c r="A39" s="11" t="s">
        <v>91</v>
      </c>
      <c r="B39" s="11" t="s">
        <v>25</v>
      </c>
      <c r="C39" s="18" t="n">
        <v>0.2</v>
      </c>
      <c r="D39" s="13" t="n">
        <f aca="false">C39*INDEX(Mulai!$C$22:$C$25,MATCH(B39,Mulai!$A$22:$A$25,0))</f>
        <v>13500000</v>
      </c>
      <c r="E39" s="13" t="n">
        <f aca="false">SUMIFS(Transaksi!$E$7:$E$1006,Transaksi!$B$7:$B$1006,"Pengeluaran",Transaksi!$C$7:$C$1006,A39,Transaksi!$F$7:$F$1006,$B$3,Transaksi!$G$7:$G$1006,Mulai!$B$17)</f>
        <v>0</v>
      </c>
      <c r="F39" s="13" t="n">
        <f aca="false">D39-E39</f>
        <v>13500000</v>
      </c>
      <c r="G39" s="12" t="n">
        <f aca="false">IF(D39=0,0,E39/D39)</f>
        <v>0</v>
      </c>
      <c r="H39" s="30" t="str">
        <f aca="false">IF(D39=0,"-",IF(E39&gt;D39,"Melebihi",IF(E39&gt;=0.8*D39,"Hampir habis","Aman")))</f>
        <v>Aman</v>
      </c>
    </row>
    <row r="42" customFormat="false" ht="15" hidden="false" customHeight="false" outlineLevel="0" collapsed="false">
      <c r="A42" s="3" t="s">
        <v>92</v>
      </c>
    </row>
    <row r="43" customFormat="false" ht="15" hidden="false" customHeight="false" outlineLevel="0" collapsed="false">
      <c r="A43" s="10" t="s">
        <v>50</v>
      </c>
      <c r="B43" s="10" t="s">
        <v>93</v>
      </c>
      <c r="C43" s="10" t="s">
        <v>22</v>
      </c>
      <c r="D43" s="10" t="s">
        <v>23</v>
      </c>
      <c r="E43" s="10" t="s">
        <v>24</v>
      </c>
      <c r="F43" s="10" t="s">
        <v>25</v>
      </c>
      <c r="G43" s="10" t="s">
        <v>94</v>
      </c>
      <c r="H43" s="10" t="s">
        <v>95</v>
      </c>
      <c r="I43" s="10" t="s">
        <v>96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SUMIFS(Transaksi!$E$7:$E$1006,Transaksi!$B$7:$B$1006,"Pemasukan",Transaksi!$F$7:$F$1006,1,Transaksi!$G$7:$G$1006,Mulai!$B$17)</f>
        <v>0</v>
      </c>
      <c r="C44" s="13" t="n">
        <f aca="false">SUMIFS(Transaksi!$E$7:$E$1006,Transaksi!$B$7:$B$1006,"Pengeluaran",Transaksi!$H$7:$H$1006,C$43,Transaksi!$F$7:$F$1006,1,Transaksi!$G$7:$G$1006,Mulai!$B$17)</f>
        <v>0</v>
      </c>
      <c r="D44" s="13" t="n">
        <f aca="false">SUMIFS(Transaksi!$E$7:$E$1006,Transaksi!$B$7:$B$1006,"Pengeluaran",Transaksi!$H$7:$H$1006,D$43,Transaksi!$F$7:$F$1006,1,Transaksi!$G$7:$G$1006,Mulai!$B$17)</f>
        <v>0</v>
      </c>
      <c r="E44" s="13" t="n">
        <f aca="false">SUMIFS(Transaksi!$E$7:$E$1006,Transaksi!$B$7:$B$1006,"Pengeluaran",Transaksi!$H$7:$H$1006,E$43,Transaksi!$F$7:$F$1006,1,Transaksi!$G$7:$G$1006,Mulai!$B$17)</f>
        <v>0</v>
      </c>
      <c r="F44" s="13" t="n">
        <f aca="false">SUMIFS(Transaksi!$E$7:$E$1006,Transaksi!$B$7:$B$1006,"Pengeluaran",Transaksi!$H$7:$H$1006,F$43,Transaksi!$F$7:$F$1006,1,Transaksi!$G$7:$G$1006,Mulai!$B$17)</f>
        <v>0</v>
      </c>
      <c r="G44" s="16" t="n">
        <f aca="false">SUM(C44:F44)</f>
        <v>0</v>
      </c>
      <c r="H44" s="13" t="n">
        <f aca="false">B44-G44</f>
        <v>0</v>
      </c>
      <c r="I44" s="31" t="n">
        <f aca="false">IF(B44=0,0,F44/B44)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SUMIFS(Transaksi!$E$7:$E$1006,Transaksi!$B$7:$B$1006,"Pemasukan",Transaksi!$F$7:$F$1006,2,Transaksi!$G$7:$G$1006,Mulai!$B$17)</f>
        <v>0</v>
      </c>
      <c r="C45" s="13" t="n">
        <f aca="false">SUMIFS(Transaksi!$E$7:$E$1006,Transaksi!$B$7:$B$1006,"Pengeluaran",Transaksi!$H$7:$H$1006,C$43,Transaksi!$F$7:$F$1006,2,Transaksi!$G$7:$G$1006,Mulai!$B$17)</f>
        <v>0</v>
      </c>
      <c r="D45" s="13" t="n">
        <f aca="false">SUMIFS(Transaksi!$E$7:$E$1006,Transaksi!$B$7:$B$1006,"Pengeluaran",Transaksi!$H$7:$H$1006,D$43,Transaksi!$F$7:$F$1006,2,Transaksi!$G$7:$G$1006,Mulai!$B$17)</f>
        <v>0</v>
      </c>
      <c r="E45" s="13" t="n">
        <f aca="false">SUMIFS(Transaksi!$E$7:$E$1006,Transaksi!$B$7:$B$1006,"Pengeluaran",Transaksi!$H$7:$H$1006,E$43,Transaksi!$F$7:$F$1006,2,Transaksi!$G$7:$G$1006,Mulai!$B$17)</f>
        <v>0</v>
      </c>
      <c r="F45" s="13" t="n">
        <f aca="false">SUMIFS(Transaksi!$E$7:$E$1006,Transaksi!$B$7:$B$1006,"Pengeluaran",Transaksi!$H$7:$H$1006,F$43,Transaksi!$F$7:$F$1006,2,Transaksi!$G$7:$G$1006,Mulai!$B$17)</f>
        <v>0</v>
      </c>
      <c r="G45" s="16" t="n">
        <f aca="false">SUM(C45:F45)</f>
        <v>0</v>
      </c>
      <c r="H45" s="13" t="n">
        <f aca="false">B45-G45</f>
        <v>0</v>
      </c>
      <c r="I45" s="31" t="n">
        <f aca="false">IF(B45=0,0,F45/B45)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SUMIFS(Transaksi!$E$7:$E$1006,Transaksi!$B$7:$B$1006,"Pemasukan",Transaksi!$F$7:$F$1006,3,Transaksi!$G$7:$G$1006,Mulai!$B$17)</f>
        <v>0</v>
      </c>
      <c r="C46" s="13" t="n">
        <f aca="false">SUMIFS(Transaksi!$E$7:$E$1006,Transaksi!$B$7:$B$1006,"Pengeluaran",Transaksi!$H$7:$H$1006,C$43,Transaksi!$F$7:$F$1006,3,Transaksi!$G$7:$G$1006,Mulai!$B$17)</f>
        <v>0</v>
      </c>
      <c r="D46" s="13" t="n">
        <f aca="false">SUMIFS(Transaksi!$E$7:$E$1006,Transaksi!$B$7:$B$1006,"Pengeluaran",Transaksi!$H$7:$H$1006,D$43,Transaksi!$F$7:$F$1006,3,Transaksi!$G$7:$G$1006,Mulai!$B$17)</f>
        <v>0</v>
      </c>
      <c r="E46" s="13" t="n">
        <f aca="false">SUMIFS(Transaksi!$E$7:$E$1006,Transaksi!$B$7:$B$1006,"Pengeluaran",Transaksi!$H$7:$H$1006,E$43,Transaksi!$F$7:$F$1006,3,Transaksi!$G$7:$G$1006,Mulai!$B$17)</f>
        <v>0</v>
      </c>
      <c r="F46" s="13" t="n">
        <f aca="false">SUMIFS(Transaksi!$E$7:$E$1006,Transaksi!$B$7:$B$1006,"Pengeluaran",Transaksi!$H$7:$H$1006,F$43,Transaksi!$F$7:$F$1006,3,Transaksi!$G$7:$G$1006,Mulai!$B$17)</f>
        <v>0</v>
      </c>
      <c r="G46" s="16" t="n">
        <f aca="false">SUM(C46:F46)</f>
        <v>0</v>
      </c>
      <c r="H46" s="13" t="n">
        <f aca="false">B46-G46</f>
        <v>0</v>
      </c>
      <c r="I46" s="31" t="n">
        <f aca="false">IF(B46=0,0,F46/B46)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SUMIFS(Transaksi!$E$7:$E$1006,Transaksi!$B$7:$B$1006,"Pemasukan",Transaksi!$F$7:$F$1006,4,Transaksi!$G$7:$G$1006,Mulai!$B$17)</f>
        <v>0</v>
      </c>
      <c r="C47" s="13" t="n">
        <f aca="false">SUMIFS(Transaksi!$E$7:$E$1006,Transaksi!$B$7:$B$1006,"Pengeluaran",Transaksi!$H$7:$H$1006,C$43,Transaksi!$F$7:$F$1006,4,Transaksi!$G$7:$G$1006,Mulai!$B$17)</f>
        <v>0</v>
      </c>
      <c r="D47" s="13" t="n">
        <f aca="false">SUMIFS(Transaksi!$E$7:$E$1006,Transaksi!$B$7:$B$1006,"Pengeluaran",Transaksi!$H$7:$H$1006,D$43,Transaksi!$F$7:$F$1006,4,Transaksi!$G$7:$G$1006,Mulai!$B$17)</f>
        <v>0</v>
      </c>
      <c r="E47" s="13" t="n">
        <f aca="false">SUMIFS(Transaksi!$E$7:$E$1006,Transaksi!$B$7:$B$1006,"Pengeluaran",Transaksi!$H$7:$H$1006,E$43,Transaksi!$F$7:$F$1006,4,Transaksi!$G$7:$G$1006,Mulai!$B$17)</f>
        <v>0</v>
      </c>
      <c r="F47" s="13" t="n">
        <f aca="false">SUMIFS(Transaksi!$E$7:$E$1006,Transaksi!$B$7:$B$1006,"Pengeluaran",Transaksi!$H$7:$H$1006,F$43,Transaksi!$F$7:$F$1006,4,Transaksi!$G$7:$G$1006,Mulai!$B$17)</f>
        <v>0</v>
      </c>
      <c r="G47" s="16" t="n">
        <f aca="false">SUM(C47:F47)</f>
        <v>0</v>
      </c>
      <c r="H47" s="13" t="n">
        <f aca="false">B47-G47</f>
        <v>0</v>
      </c>
      <c r="I47" s="31" t="n">
        <f aca="false">IF(B47=0,0,F47/B47)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SUMIFS(Transaksi!$E$7:$E$1006,Transaksi!$B$7:$B$1006,"Pemasukan",Transaksi!$F$7:$F$1006,5,Transaksi!$G$7:$G$1006,Mulai!$B$17)</f>
        <v>0</v>
      </c>
      <c r="C48" s="13" t="n">
        <f aca="false">SUMIFS(Transaksi!$E$7:$E$1006,Transaksi!$B$7:$B$1006,"Pengeluaran",Transaksi!$H$7:$H$1006,C$43,Transaksi!$F$7:$F$1006,5,Transaksi!$G$7:$G$1006,Mulai!$B$17)</f>
        <v>0</v>
      </c>
      <c r="D48" s="13" t="n">
        <f aca="false">SUMIFS(Transaksi!$E$7:$E$1006,Transaksi!$B$7:$B$1006,"Pengeluaran",Transaksi!$H$7:$H$1006,D$43,Transaksi!$F$7:$F$1006,5,Transaksi!$G$7:$G$1006,Mulai!$B$17)</f>
        <v>0</v>
      </c>
      <c r="E48" s="13" t="n">
        <f aca="false">SUMIFS(Transaksi!$E$7:$E$1006,Transaksi!$B$7:$B$1006,"Pengeluaran",Transaksi!$H$7:$H$1006,E$43,Transaksi!$F$7:$F$1006,5,Transaksi!$G$7:$G$1006,Mulai!$B$17)</f>
        <v>0</v>
      </c>
      <c r="F48" s="13" t="n">
        <f aca="false">SUMIFS(Transaksi!$E$7:$E$1006,Transaksi!$B$7:$B$1006,"Pengeluaran",Transaksi!$H$7:$H$1006,F$43,Transaksi!$F$7:$F$1006,5,Transaksi!$G$7:$G$1006,Mulai!$B$17)</f>
        <v>0</v>
      </c>
      <c r="G48" s="16" t="n">
        <f aca="false">SUM(C48:F48)</f>
        <v>0</v>
      </c>
      <c r="H48" s="13" t="n">
        <f aca="false">B48-G48</f>
        <v>0</v>
      </c>
      <c r="I48" s="31" t="n">
        <f aca="false">IF(B48=0,0,F48/B48)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SUMIFS(Transaksi!$E$7:$E$1006,Transaksi!$B$7:$B$1006,"Pemasukan",Transaksi!$F$7:$F$1006,6,Transaksi!$G$7:$G$1006,Mulai!$B$17)</f>
        <v>0</v>
      </c>
      <c r="C49" s="13" t="n">
        <f aca="false">SUMIFS(Transaksi!$E$7:$E$1006,Transaksi!$B$7:$B$1006,"Pengeluaran",Transaksi!$H$7:$H$1006,C$43,Transaksi!$F$7:$F$1006,6,Transaksi!$G$7:$G$1006,Mulai!$B$17)</f>
        <v>0</v>
      </c>
      <c r="D49" s="13" t="n">
        <f aca="false">SUMIFS(Transaksi!$E$7:$E$1006,Transaksi!$B$7:$B$1006,"Pengeluaran",Transaksi!$H$7:$H$1006,D$43,Transaksi!$F$7:$F$1006,6,Transaksi!$G$7:$G$1006,Mulai!$B$17)</f>
        <v>0</v>
      </c>
      <c r="E49" s="13" t="n">
        <f aca="false">SUMIFS(Transaksi!$E$7:$E$1006,Transaksi!$B$7:$B$1006,"Pengeluaran",Transaksi!$H$7:$H$1006,E$43,Transaksi!$F$7:$F$1006,6,Transaksi!$G$7:$G$1006,Mulai!$B$17)</f>
        <v>0</v>
      </c>
      <c r="F49" s="13" t="n">
        <f aca="false">SUMIFS(Transaksi!$E$7:$E$1006,Transaksi!$B$7:$B$1006,"Pengeluaran",Transaksi!$H$7:$H$1006,F$43,Transaksi!$F$7:$F$1006,6,Transaksi!$G$7:$G$1006,Mulai!$B$17)</f>
        <v>0</v>
      </c>
      <c r="G49" s="16" t="n">
        <f aca="false">SUM(C49:F49)</f>
        <v>0</v>
      </c>
      <c r="H49" s="13" t="n">
        <f aca="false">B49-G49</f>
        <v>0</v>
      </c>
      <c r="I49" s="31" t="n">
        <f aca="false">IF(B49=0,0,F49/B49)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SUMIFS(Transaksi!$E$7:$E$1006,Transaksi!$B$7:$B$1006,"Pemasukan",Transaksi!$F$7:$F$1006,7,Transaksi!$G$7:$G$1006,Mulai!$B$17)</f>
        <v>0</v>
      </c>
      <c r="C50" s="13" t="n">
        <f aca="false">SUMIFS(Transaksi!$E$7:$E$1006,Transaksi!$B$7:$B$1006,"Pengeluaran",Transaksi!$H$7:$H$1006,C$43,Transaksi!$F$7:$F$1006,7,Transaksi!$G$7:$G$1006,Mulai!$B$17)</f>
        <v>0</v>
      </c>
      <c r="D50" s="13" t="n">
        <f aca="false">SUMIFS(Transaksi!$E$7:$E$1006,Transaksi!$B$7:$B$1006,"Pengeluaran",Transaksi!$H$7:$H$1006,D$43,Transaksi!$F$7:$F$1006,7,Transaksi!$G$7:$G$1006,Mulai!$B$17)</f>
        <v>0</v>
      </c>
      <c r="E50" s="13" t="n">
        <f aca="false">SUMIFS(Transaksi!$E$7:$E$1006,Transaksi!$B$7:$B$1006,"Pengeluaran",Transaksi!$H$7:$H$1006,E$43,Transaksi!$F$7:$F$1006,7,Transaksi!$G$7:$G$1006,Mulai!$B$17)</f>
        <v>0</v>
      </c>
      <c r="F50" s="13" t="n">
        <f aca="false">SUMIFS(Transaksi!$E$7:$E$1006,Transaksi!$B$7:$B$1006,"Pengeluaran",Transaksi!$H$7:$H$1006,F$43,Transaksi!$F$7:$F$1006,7,Transaksi!$G$7:$G$1006,Mulai!$B$17)</f>
        <v>0</v>
      </c>
      <c r="G50" s="16" t="n">
        <f aca="false">SUM(C50:F50)</f>
        <v>0</v>
      </c>
      <c r="H50" s="13" t="n">
        <f aca="false">B50-G50</f>
        <v>0</v>
      </c>
      <c r="I50" s="31" t="n">
        <f aca="false">IF(B50=0,0,F50/B50)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SUMIFS(Transaksi!$E$7:$E$1006,Transaksi!$B$7:$B$1006,"Pemasukan",Transaksi!$F$7:$F$1006,8,Transaksi!$G$7:$G$1006,Mulai!$B$17)</f>
        <v>0</v>
      </c>
      <c r="C51" s="13" t="n">
        <f aca="false">SUMIFS(Transaksi!$E$7:$E$1006,Transaksi!$B$7:$B$1006,"Pengeluaran",Transaksi!$H$7:$H$1006,C$43,Transaksi!$F$7:$F$1006,8,Transaksi!$G$7:$G$1006,Mulai!$B$17)</f>
        <v>0</v>
      </c>
      <c r="D51" s="13" t="n">
        <f aca="false">SUMIFS(Transaksi!$E$7:$E$1006,Transaksi!$B$7:$B$1006,"Pengeluaran",Transaksi!$H$7:$H$1006,D$43,Transaksi!$F$7:$F$1006,8,Transaksi!$G$7:$G$1006,Mulai!$B$17)</f>
        <v>0</v>
      </c>
      <c r="E51" s="13" t="n">
        <f aca="false">SUMIFS(Transaksi!$E$7:$E$1006,Transaksi!$B$7:$B$1006,"Pengeluaran",Transaksi!$H$7:$H$1006,E$43,Transaksi!$F$7:$F$1006,8,Transaksi!$G$7:$G$1006,Mulai!$B$17)</f>
        <v>0</v>
      </c>
      <c r="F51" s="13" t="n">
        <f aca="false">SUMIFS(Transaksi!$E$7:$E$1006,Transaksi!$B$7:$B$1006,"Pengeluaran",Transaksi!$H$7:$H$1006,F$43,Transaksi!$F$7:$F$1006,8,Transaksi!$G$7:$G$1006,Mulai!$B$17)</f>
        <v>0</v>
      </c>
      <c r="G51" s="16" t="n">
        <f aca="false">SUM(C51:F51)</f>
        <v>0</v>
      </c>
      <c r="H51" s="13" t="n">
        <f aca="false">B51-G51</f>
        <v>0</v>
      </c>
      <c r="I51" s="31" t="n">
        <f aca="false">IF(B51=0,0,F51/B51)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SUMIFS(Transaksi!$E$7:$E$1006,Transaksi!$B$7:$B$1006,"Pemasukan",Transaksi!$F$7:$F$1006,9,Transaksi!$G$7:$G$1006,Mulai!$B$17)</f>
        <v>0</v>
      </c>
      <c r="C52" s="13" t="n">
        <f aca="false">SUMIFS(Transaksi!$E$7:$E$1006,Transaksi!$B$7:$B$1006,"Pengeluaran",Transaksi!$H$7:$H$1006,C$43,Transaksi!$F$7:$F$1006,9,Transaksi!$G$7:$G$1006,Mulai!$B$17)</f>
        <v>0</v>
      </c>
      <c r="D52" s="13" t="n">
        <f aca="false">SUMIFS(Transaksi!$E$7:$E$1006,Transaksi!$B$7:$B$1006,"Pengeluaran",Transaksi!$H$7:$H$1006,D$43,Transaksi!$F$7:$F$1006,9,Transaksi!$G$7:$G$1006,Mulai!$B$17)</f>
        <v>0</v>
      </c>
      <c r="E52" s="13" t="n">
        <f aca="false">SUMIFS(Transaksi!$E$7:$E$1006,Transaksi!$B$7:$B$1006,"Pengeluaran",Transaksi!$H$7:$H$1006,E$43,Transaksi!$F$7:$F$1006,9,Transaksi!$G$7:$G$1006,Mulai!$B$17)</f>
        <v>0</v>
      </c>
      <c r="F52" s="13" t="n">
        <f aca="false">SUMIFS(Transaksi!$E$7:$E$1006,Transaksi!$B$7:$B$1006,"Pengeluaran",Transaksi!$H$7:$H$1006,F$43,Transaksi!$F$7:$F$1006,9,Transaksi!$G$7:$G$1006,Mulai!$B$17)</f>
        <v>0</v>
      </c>
      <c r="G52" s="16" t="n">
        <f aca="false">SUM(C52:F52)</f>
        <v>0</v>
      </c>
      <c r="H52" s="13" t="n">
        <f aca="false">B52-G52</f>
        <v>0</v>
      </c>
      <c r="I52" s="31" t="n">
        <f aca="false">IF(B52=0,0,F52/B52)</f>
        <v>0</v>
      </c>
    </row>
    <row r="53" customFormat="false" ht="15" hidden="false" customHeight="false" outlineLevel="0" collapsed="false">
      <c r="A53" s="11" t="s">
        <v>106</v>
      </c>
      <c r="B53" s="13" t="n">
        <f aca="false">SUMIFS(Transaksi!$E$7:$E$1006,Transaksi!$B$7:$B$1006,"Pemasukan",Transaksi!$F$7:$F$1006,10,Transaksi!$G$7:$G$1006,Mulai!$B$17)</f>
        <v>0</v>
      </c>
      <c r="C53" s="13" t="n">
        <f aca="false">SUMIFS(Transaksi!$E$7:$E$1006,Transaksi!$B$7:$B$1006,"Pengeluaran",Transaksi!$H$7:$H$1006,C$43,Transaksi!$F$7:$F$1006,10,Transaksi!$G$7:$G$1006,Mulai!$B$17)</f>
        <v>0</v>
      </c>
      <c r="D53" s="13" t="n">
        <f aca="false">SUMIFS(Transaksi!$E$7:$E$1006,Transaksi!$B$7:$B$1006,"Pengeluaran",Transaksi!$H$7:$H$1006,D$43,Transaksi!$F$7:$F$1006,10,Transaksi!$G$7:$G$1006,Mulai!$B$17)</f>
        <v>0</v>
      </c>
      <c r="E53" s="13" t="n">
        <f aca="false">SUMIFS(Transaksi!$E$7:$E$1006,Transaksi!$B$7:$B$1006,"Pengeluaran",Transaksi!$H$7:$H$1006,E$43,Transaksi!$F$7:$F$1006,10,Transaksi!$G$7:$G$1006,Mulai!$B$17)</f>
        <v>0</v>
      </c>
      <c r="F53" s="13" t="n">
        <f aca="false">SUMIFS(Transaksi!$E$7:$E$1006,Transaksi!$B$7:$B$1006,"Pengeluaran",Transaksi!$H$7:$H$1006,F$43,Transaksi!$F$7:$F$1006,10,Transaksi!$G$7:$G$1006,Mulai!$B$17)</f>
        <v>0</v>
      </c>
      <c r="G53" s="16" t="n">
        <f aca="false">SUM(C53:F53)</f>
        <v>0</v>
      </c>
      <c r="H53" s="13" t="n">
        <f aca="false">B53-G53</f>
        <v>0</v>
      </c>
      <c r="I53" s="31" t="n">
        <f aca="false">IF(B53=0,0,F53/B53)</f>
        <v>0</v>
      </c>
    </row>
    <row r="54" customFormat="false" ht="15" hidden="false" customHeight="false" outlineLevel="0" collapsed="false">
      <c r="A54" s="11" t="s">
        <v>107</v>
      </c>
      <c r="B54" s="13" t="n">
        <f aca="false">SUMIFS(Transaksi!$E$7:$E$1006,Transaksi!$B$7:$B$1006,"Pemasukan",Transaksi!$F$7:$F$1006,11,Transaksi!$G$7:$G$1006,Mulai!$B$17)</f>
        <v>0</v>
      </c>
      <c r="C54" s="13" t="n">
        <f aca="false">SUMIFS(Transaksi!$E$7:$E$1006,Transaksi!$B$7:$B$1006,"Pengeluaran",Transaksi!$H$7:$H$1006,C$43,Transaksi!$F$7:$F$1006,11,Transaksi!$G$7:$G$1006,Mulai!$B$17)</f>
        <v>0</v>
      </c>
      <c r="D54" s="13" t="n">
        <f aca="false">SUMIFS(Transaksi!$E$7:$E$1006,Transaksi!$B$7:$B$1006,"Pengeluaran",Transaksi!$H$7:$H$1006,D$43,Transaksi!$F$7:$F$1006,11,Transaksi!$G$7:$G$1006,Mulai!$B$17)</f>
        <v>0</v>
      </c>
      <c r="E54" s="13" t="n">
        <f aca="false">SUMIFS(Transaksi!$E$7:$E$1006,Transaksi!$B$7:$B$1006,"Pengeluaran",Transaksi!$H$7:$H$1006,E$43,Transaksi!$F$7:$F$1006,11,Transaksi!$G$7:$G$1006,Mulai!$B$17)</f>
        <v>0</v>
      </c>
      <c r="F54" s="13" t="n">
        <f aca="false">SUMIFS(Transaksi!$E$7:$E$1006,Transaksi!$B$7:$B$1006,"Pengeluaran",Transaksi!$H$7:$H$1006,F$43,Transaksi!$F$7:$F$1006,11,Transaksi!$G$7:$G$1006,Mulai!$B$17)</f>
        <v>0</v>
      </c>
      <c r="G54" s="16" t="n">
        <f aca="false">SUM(C54:F54)</f>
        <v>0</v>
      </c>
      <c r="H54" s="13" t="n">
        <f aca="false">B54-G54</f>
        <v>0</v>
      </c>
      <c r="I54" s="31" t="n">
        <f aca="false">IF(B54=0,0,F54/B54)</f>
        <v>0</v>
      </c>
    </row>
    <row r="55" customFormat="false" ht="15" hidden="false" customHeight="false" outlineLevel="0" collapsed="false">
      <c r="A55" s="11" t="s">
        <v>108</v>
      </c>
      <c r="B55" s="13" t="n">
        <f aca="false">SUMIFS(Transaksi!$E$7:$E$1006,Transaksi!$B$7:$B$1006,"Pemasukan",Transaksi!$F$7:$F$1006,12,Transaksi!$G$7:$G$1006,Mulai!$B$17)</f>
        <v>0</v>
      </c>
      <c r="C55" s="13" t="n">
        <f aca="false">SUMIFS(Transaksi!$E$7:$E$1006,Transaksi!$B$7:$B$1006,"Pengeluaran",Transaksi!$H$7:$H$1006,C$43,Transaksi!$F$7:$F$1006,12,Transaksi!$G$7:$G$1006,Mulai!$B$17)</f>
        <v>0</v>
      </c>
      <c r="D55" s="13" t="n">
        <f aca="false">SUMIFS(Transaksi!$E$7:$E$1006,Transaksi!$B$7:$B$1006,"Pengeluaran",Transaksi!$H$7:$H$1006,D$43,Transaksi!$F$7:$F$1006,12,Transaksi!$G$7:$G$1006,Mulai!$B$17)</f>
        <v>0</v>
      </c>
      <c r="E55" s="13" t="n">
        <f aca="false">SUMIFS(Transaksi!$E$7:$E$1006,Transaksi!$B$7:$B$1006,"Pengeluaran",Transaksi!$H$7:$H$1006,E$43,Transaksi!$F$7:$F$1006,12,Transaksi!$G$7:$G$1006,Mulai!$B$17)</f>
        <v>0</v>
      </c>
      <c r="F55" s="13" t="n">
        <f aca="false">SUMIFS(Transaksi!$E$7:$E$1006,Transaksi!$B$7:$B$1006,"Pengeluaran",Transaksi!$H$7:$H$1006,F$43,Transaksi!$F$7:$F$1006,12,Transaksi!$G$7:$G$1006,Mulai!$B$17)</f>
        <v>0</v>
      </c>
      <c r="G55" s="16" t="n">
        <f aca="false">SUM(C55:F55)</f>
        <v>0</v>
      </c>
      <c r="H55" s="13" t="n">
        <f aca="false">B55-G55</f>
        <v>0</v>
      </c>
      <c r="I55" s="31" t="n">
        <f aca="false">IF(B55=0,0,F55/B55)</f>
        <v>0</v>
      </c>
    </row>
    <row r="56" customFormat="false" ht="15" hidden="false" customHeight="false" outlineLevel="0" collapsed="false">
      <c r="A56" s="29" t="s">
        <v>109</v>
      </c>
      <c r="B56" s="32" t="n">
        <f aca="false">SUM(B44:B55)</f>
        <v>0</v>
      </c>
      <c r="C56" s="32" t="n">
        <f aca="false">SUM(C44:C55)</f>
        <v>0</v>
      </c>
      <c r="D56" s="32" t="n">
        <f aca="false">SUM(D44:D55)</f>
        <v>0</v>
      </c>
      <c r="E56" s="32" t="n">
        <f aca="false">SUM(E44:E55)</f>
        <v>0</v>
      </c>
      <c r="F56" s="32" t="n">
        <f aca="false">SUM(F44:F55)</f>
        <v>0</v>
      </c>
      <c r="G56" s="32" t="n">
        <f aca="false">SUM(G44:G55)</f>
        <v>0</v>
      </c>
      <c r="H56" s="32" t="n">
        <f aca="false">SUM(H44:H55)</f>
        <v>0</v>
      </c>
      <c r="I56" s="33" t="n">
        <f aca="false">IF(B56=0,0,F56/B56)</f>
        <v>0</v>
      </c>
    </row>
    <row r="57" customFormat="false" ht="15" hidden="false" customHeight="false" outlineLevel="0" collapsed="false">
      <c r="A57" s="2" t="s">
        <v>110</v>
      </c>
    </row>
    <row r="77" customFormat="false" ht="15" hidden="false" customHeight="false" outlineLevel="0" collapsed="false">
      <c r="A77" s="3" t="s">
        <v>111</v>
      </c>
    </row>
    <row r="78" customFormat="false" ht="15" hidden="false" customHeight="false" outlineLevel="0" collapsed="false">
      <c r="A78" s="4" t="s">
        <v>112</v>
      </c>
      <c r="B78" s="9" t="n">
        <v>6</v>
      </c>
    </row>
    <row r="79" customFormat="false" ht="15" hidden="false" customHeight="false" outlineLevel="0" collapsed="false">
      <c r="A79" s="4" t="s">
        <v>113</v>
      </c>
      <c r="B79" s="34" t="n">
        <f aca="false">Mulai!C23+Mulai!C22</f>
        <v>52500000</v>
      </c>
    </row>
    <row r="80" customFormat="false" ht="15" hidden="false" customHeight="false" outlineLevel="0" collapsed="false">
      <c r="A80" s="7" t="s">
        <v>114</v>
      </c>
      <c r="B80" s="8" t="n">
        <f aca="false">B78*B79</f>
        <v>315000000</v>
      </c>
    </row>
    <row r="81" customFormat="false" ht="15" hidden="false" customHeight="false" outlineLevel="0" collapsed="false">
      <c r="A81" s="4" t="s">
        <v>115</v>
      </c>
      <c r="B81" s="5" t="n">
        <v>45000000</v>
      </c>
      <c r="C81" s="2" t="s">
        <v>116</v>
      </c>
    </row>
    <row r="82" customFormat="false" ht="15" hidden="false" customHeight="false" outlineLevel="0" collapsed="false">
      <c r="A82" s="4" t="s">
        <v>117</v>
      </c>
      <c r="B82" s="34" t="n">
        <f aca="false">MAX(0,B80-B81)</f>
        <v>270000000</v>
      </c>
    </row>
    <row r="83" customFormat="false" ht="15" hidden="false" customHeight="false" outlineLevel="0" collapsed="false">
      <c r="A83" s="4" t="s">
        <v>118</v>
      </c>
      <c r="B83" s="35" t="n">
        <f aca="false">IF(B80=0,0,MIN(1,B81/B80))</f>
        <v>0.142857142857143</v>
      </c>
    </row>
    <row r="84" customFormat="false" ht="15" hidden="false" customHeight="false" outlineLevel="0" collapsed="false">
      <c r="A84" s="4" t="s">
        <v>119</v>
      </c>
      <c r="B84" s="34" t="n">
        <f aca="false">IFERROR(INDEX($D$18:$D$39,MATCH("Dana darurat",$A$18:$A$39,0)),0)</f>
        <v>33750000</v>
      </c>
    </row>
    <row r="85" customFormat="false" ht="15" hidden="false" customHeight="false" outlineLevel="0" collapsed="false">
      <c r="A85" s="7" t="s">
        <v>120</v>
      </c>
      <c r="B85" s="28" t="n">
        <f aca="false">IF(B82=0,0,IF(B84&lt;=0,"-",ROUNDUP(B82/B84,0)))</f>
        <v>8</v>
      </c>
    </row>
    <row r="87" customFormat="false" ht="15" hidden="false" customHeight="false" outlineLevel="0" collapsed="false">
      <c r="A87" s="2" t="s">
        <v>121</v>
      </c>
    </row>
    <row r="88" customFormat="false" ht="15" hidden="false" customHeight="false" outlineLevel="0" collapsed="false">
      <c r="A88" s="2" t="s">
        <v>122</v>
      </c>
    </row>
  </sheetData>
  <conditionalFormatting sqref="H18:H39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125</v>
      </c>
    </row>
    <row r="5" customFormat="false" ht="15" hidden="false" customHeight="false" outlineLevel="0" collapsed="false">
      <c r="A5" s="10" t="s">
        <v>126</v>
      </c>
      <c r="B5" s="10" t="s">
        <v>46</v>
      </c>
      <c r="C5" s="10" t="s">
        <v>127</v>
      </c>
      <c r="D5" s="10" t="s">
        <v>128</v>
      </c>
      <c r="E5" s="10" t="s">
        <v>129</v>
      </c>
      <c r="F5" s="10" t="s">
        <v>130</v>
      </c>
      <c r="G5" s="10" t="s">
        <v>131</v>
      </c>
      <c r="H5" s="10" t="s">
        <v>132</v>
      </c>
      <c r="I5" s="10" t="s">
        <v>133</v>
      </c>
    </row>
    <row r="6" customFormat="false" ht="15" hidden="false" customHeight="false" outlineLevel="0" collapsed="false">
      <c r="A6" s="25" t="s">
        <v>134</v>
      </c>
      <c r="B6" s="25" t="s">
        <v>135</v>
      </c>
      <c r="C6" s="6" t="n">
        <v>2000000000</v>
      </c>
      <c r="D6" s="36" t="n">
        <v>7</v>
      </c>
      <c r="E6" s="6" t="n">
        <v>20000000</v>
      </c>
      <c r="F6" s="37" t="n">
        <v>120</v>
      </c>
      <c r="G6" s="37" t="n">
        <v>1</v>
      </c>
      <c r="H6" s="26" t="n">
        <f aca="false">IF(A6="","",RANK(D6,$D$6:$D$15,0)+COUNTIF($D$6:D6,D6)-1)</f>
        <v>3</v>
      </c>
      <c r="I6" s="26" t="n">
        <f aca="false">IF(A6="","",RANK(C6,$C$6:$C$15,1)+COUNTIF($C$6:C6,C6)-1)</f>
        <v>3</v>
      </c>
    </row>
    <row r="7" customFormat="false" ht="15" hidden="false" customHeight="false" outlineLevel="0" collapsed="false">
      <c r="A7" s="25" t="s">
        <v>136</v>
      </c>
      <c r="B7" s="25" t="s">
        <v>137</v>
      </c>
      <c r="C7" s="6" t="n">
        <v>240000000</v>
      </c>
      <c r="D7" s="36" t="n">
        <v>8</v>
      </c>
      <c r="E7" s="6" t="n">
        <v>8000000</v>
      </c>
      <c r="F7" s="37" t="n">
        <v>30</v>
      </c>
      <c r="G7" s="37" t="n">
        <v>5</v>
      </c>
      <c r="H7" s="26" t="n">
        <f aca="false">IF(A7="","",RANK(D7,$D$6:$D$15,0)+COUNTIF($D$6:D7,D7)-1)</f>
        <v>2</v>
      </c>
      <c r="I7" s="26" t="n">
        <f aca="false">IF(A7="","",RANK(C7,$C$6:$C$15,1)+COUNTIF($C$6:C7,C7)-1)</f>
        <v>2</v>
      </c>
    </row>
    <row r="8" customFormat="false" ht="15" hidden="false" customHeight="false" outlineLevel="0" collapsed="false">
      <c r="A8" s="25" t="s">
        <v>138</v>
      </c>
      <c r="B8" s="25" t="s">
        <v>138</v>
      </c>
      <c r="C8" s="6" t="n">
        <v>10000000</v>
      </c>
      <c r="D8" s="36" t="n">
        <v>24</v>
      </c>
      <c r="E8" s="6" t="n">
        <v>2000000</v>
      </c>
      <c r="F8" s="37" t="n">
        <v>5</v>
      </c>
      <c r="G8" s="37" t="n">
        <v>15</v>
      </c>
      <c r="H8" s="26" t="n">
        <f aca="false">IF(A8="","",RANK(D8,$D$6:$D$15,0)+COUNTIF($D$6:D8,D8)-1)</f>
        <v>1</v>
      </c>
      <c r="I8" s="26" t="n">
        <f aca="false">IF(A8="","",RANK(C8,$C$6:$C$15,1)+COUNTIF($C$6:C8,C8)-1)</f>
        <v>1</v>
      </c>
    </row>
    <row r="9" customFormat="false" ht="15" hidden="false" customHeight="false" outlineLevel="0" collapsed="false">
      <c r="A9" s="25"/>
      <c r="B9" s="25"/>
      <c r="C9" s="6"/>
      <c r="D9" s="36"/>
      <c r="E9" s="6"/>
      <c r="F9" s="37"/>
      <c r="G9" s="37"/>
      <c r="H9" s="26" t="str">
        <f aca="false">IF(A9="","",RANK(D9,$D$6:$D$15,0)+COUNTIF($D$6:D9,D9)-1)</f>
        <v/>
      </c>
      <c r="I9" s="26" t="str">
        <f aca="false">IF(A9="","",RANK(C9,$C$6:$C$15,1)+COUNTIF($C$6:C9,C9)-1)</f>
        <v/>
      </c>
    </row>
    <row r="10" customFormat="false" ht="15" hidden="false" customHeight="false" outlineLevel="0" collapsed="false">
      <c r="A10" s="25"/>
      <c r="B10" s="25"/>
      <c r="C10" s="6"/>
      <c r="D10" s="36"/>
      <c r="E10" s="6"/>
      <c r="F10" s="37"/>
      <c r="G10" s="37"/>
      <c r="H10" s="26" t="str">
        <f aca="false">IF(A10="","",RANK(D10,$D$6:$D$15,0)+COUNTIF($D$6:D10,D10)-1)</f>
        <v/>
      </c>
      <c r="I10" s="26" t="str">
        <f aca="false">IF(A10="","",RANK(C10,$C$6:$C$15,1)+COUNTIF($C$6:C10,C10)-1)</f>
        <v/>
      </c>
    </row>
    <row r="11" customFormat="false" ht="15" hidden="false" customHeight="false" outlineLevel="0" collapsed="false">
      <c r="A11" s="25"/>
      <c r="B11" s="25"/>
      <c r="C11" s="6"/>
      <c r="D11" s="36"/>
      <c r="E11" s="6"/>
      <c r="F11" s="37"/>
      <c r="G11" s="37"/>
      <c r="H11" s="26" t="str">
        <f aca="false">IF(A11="","",RANK(D11,$D$6:$D$15,0)+COUNTIF($D$6:D11,D11)-1)</f>
        <v/>
      </c>
      <c r="I11" s="26" t="str">
        <f aca="false">IF(A11="","",RANK(C11,$C$6:$C$15,1)+COUNTIF($C$6:C11,C11)-1)</f>
        <v/>
      </c>
    </row>
    <row r="12" customFormat="false" ht="15" hidden="false" customHeight="false" outlineLevel="0" collapsed="false">
      <c r="A12" s="25"/>
      <c r="B12" s="25"/>
      <c r="C12" s="6"/>
      <c r="D12" s="36"/>
      <c r="E12" s="6"/>
      <c r="F12" s="37"/>
      <c r="G12" s="37"/>
      <c r="H12" s="26" t="str">
        <f aca="false">IF(A12="","",RANK(D12,$D$6:$D$15,0)+COUNTIF($D$6:D12,D12)-1)</f>
        <v/>
      </c>
      <c r="I12" s="26" t="str">
        <f aca="false">IF(A12="","",RANK(C12,$C$6:$C$15,1)+COUNTIF($C$6:C12,C12)-1)</f>
        <v/>
      </c>
    </row>
    <row r="13" customFormat="false" ht="15" hidden="false" customHeight="false" outlineLevel="0" collapsed="false">
      <c r="A13" s="25"/>
      <c r="B13" s="25"/>
      <c r="C13" s="6"/>
      <c r="D13" s="36"/>
      <c r="E13" s="6"/>
      <c r="F13" s="37"/>
      <c r="G13" s="37"/>
      <c r="H13" s="26" t="str">
        <f aca="false">IF(A13="","",RANK(D13,$D$6:$D$15,0)+COUNTIF($D$6:D13,D13)-1)</f>
        <v/>
      </c>
      <c r="I13" s="26" t="str">
        <f aca="false">IF(A13="","",RANK(C13,$C$6:$C$15,1)+COUNTIF($C$6:C13,C13)-1)</f>
        <v/>
      </c>
    </row>
    <row r="14" customFormat="false" ht="15" hidden="false" customHeight="false" outlineLevel="0" collapsed="false">
      <c r="A14" s="25"/>
      <c r="B14" s="25"/>
      <c r="C14" s="6"/>
      <c r="D14" s="36"/>
      <c r="E14" s="6"/>
      <c r="F14" s="37"/>
      <c r="G14" s="37"/>
      <c r="H14" s="26" t="str">
        <f aca="false">IF(A14="","",RANK(D14,$D$6:$D$15,0)+COUNTIF($D$6:D14,D14)-1)</f>
        <v/>
      </c>
      <c r="I14" s="26" t="str">
        <f aca="false">IF(A14="","",RANK(C14,$C$6:$C$15,1)+COUNTIF($C$6:C14,C14)-1)</f>
        <v/>
      </c>
    </row>
    <row r="15" customFormat="false" ht="15" hidden="false" customHeight="false" outlineLevel="0" collapsed="false">
      <c r="A15" s="25"/>
      <c r="B15" s="25"/>
      <c r="C15" s="6"/>
      <c r="D15" s="36"/>
      <c r="E15" s="6"/>
      <c r="F15" s="37"/>
      <c r="G15" s="37"/>
      <c r="H15" s="26" t="str">
        <f aca="false">IF(A15="","",RANK(D15,$D$6:$D$15,0)+COUNTIF($D$6:D15,D15)-1)</f>
        <v/>
      </c>
      <c r="I15" s="26" t="str">
        <f aca="false">IF(A15="","",RANK(C15,$C$6:$C$15,1)+COUNTIF($C$6:C15,C15)-1)</f>
        <v/>
      </c>
    </row>
    <row r="16" customFormat="false" ht="15" hidden="false" customHeight="false" outlineLevel="0" collapsed="false">
      <c r="A16" s="29" t="s">
        <v>26</v>
      </c>
      <c r="C16" s="32" t="n">
        <f aca="false">SUM(C6:C15)</f>
        <v>2250000000</v>
      </c>
      <c r="E16" s="32" t="n">
        <f aca="false">SUM(E6:E15)</f>
        <v>30000000</v>
      </c>
      <c r="F16" s="38" t="n">
        <f aca="false">MAX(F6:F15)</f>
        <v>120</v>
      </c>
    </row>
    <row r="19" customFormat="false" ht="15" hidden="false" customHeight="false" outlineLevel="0" collapsed="false">
      <c r="A19" s="3" t="s">
        <v>139</v>
      </c>
    </row>
    <row r="20" customFormat="false" ht="15" hidden="false" customHeight="false" outlineLevel="0" collapsed="false">
      <c r="A20" s="4" t="s">
        <v>140</v>
      </c>
      <c r="B20" s="34" t="n">
        <f aca="false">E16</f>
        <v>30000000</v>
      </c>
    </row>
    <row r="21" customFormat="false" ht="15" hidden="false" customHeight="false" outlineLevel="0" collapsed="false">
      <c r="A21" s="4" t="s">
        <v>13</v>
      </c>
      <c r="B21" s="34" t="n">
        <f aca="false">Mulai!$B$15</f>
        <v>150000000</v>
      </c>
    </row>
    <row r="22" customFormat="false" ht="15" hidden="false" customHeight="false" outlineLevel="0" collapsed="false">
      <c r="A22" s="4" t="s">
        <v>141</v>
      </c>
      <c r="B22" s="35" t="n">
        <f aca="false">IF(B21=0,0,B20/B21)</f>
        <v>0.2</v>
      </c>
    </row>
    <row r="23" customFormat="false" ht="15" hidden="false" customHeight="false" outlineLevel="0" collapsed="false">
      <c r="A23" s="4" t="s">
        <v>142</v>
      </c>
      <c r="B23" s="39" t="n">
        <v>0.3</v>
      </c>
    </row>
    <row r="24" customFormat="false" ht="15" hidden="false" customHeight="false" outlineLevel="0" collapsed="false">
      <c r="A24" s="7" t="s">
        <v>70</v>
      </c>
      <c r="B24" s="7" t="str">
        <f aca="false">IF(B22&lt;=B23,"Aman",IF(B22&lt;=B23+0.1,"Waspada","Berat"))</f>
        <v>Aman</v>
      </c>
    </row>
    <row r="25" customFormat="false" ht="15" hidden="false" customHeight="false" outlineLevel="0" collapsed="false">
      <c r="A25" s="4" t="s">
        <v>143</v>
      </c>
      <c r="B25" s="34" t="n">
        <f aca="false">C16</f>
        <v>2250000000</v>
      </c>
    </row>
    <row r="26" customFormat="false" ht="15" hidden="false" customHeight="false" outlineLevel="0" collapsed="false">
      <c r="A26" s="4" t="s">
        <v>144</v>
      </c>
      <c r="B26" s="40" t="n">
        <f aca="false">F16</f>
        <v>120</v>
      </c>
    </row>
    <row r="27" customFormat="false" ht="15" hidden="false" customHeight="false" outlineLevel="0" collapsed="false">
      <c r="A27" s="4" t="s">
        <v>145</v>
      </c>
      <c r="B27" s="34" t="n">
        <f aca="false">MAX(0,B23*B21-B20)</f>
        <v>15000000</v>
      </c>
    </row>
    <row r="29" customFormat="false" ht="15" hidden="false" customHeight="false" outlineLevel="0" collapsed="false">
      <c r="A29" s="3" t="s">
        <v>146</v>
      </c>
    </row>
    <row r="30" customFormat="false" ht="15" hidden="false" customHeight="false" outlineLevel="0" collapsed="false">
      <c r="A30" s="10" t="s">
        <v>147</v>
      </c>
      <c r="B30" s="10" t="s">
        <v>148</v>
      </c>
      <c r="C30" s="10" t="s">
        <v>149</v>
      </c>
    </row>
    <row r="31" customFormat="false" ht="15" hidden="false" customHeight="false" outlineLevel="0" collapsed="false">
      <c r="A31" s="30" t="n">
        <v>1</v>
      </c>
      <c r="B31" s="11" t="str">
        <f aca="false">IFERROR(INDEX($A$6:$A$15,MATCH(1,$H$6:$H$15,0)),"")</f>
        <v>Kartu kredit</v>
      </c>
      <c r="C31" s="11" t="str">
        <f aca="false">IFERROR(INDEX($A$6:$A$15,MATCH(1,$I$6:$I$15,0)),"")</f>
        <v>Kartu kredit</v>
      </c>
    </row>
    <row r="32" customFormat="false" ht="15" hidden="false" customHeight="false" outlineLevel="0" collapsed="false">
      <c r="A32" s="30" t="n">
        <v>2</v>
      </c>
      <c r="B32" s="11" t="str">
        <f aca="false">IFERROR(INDEX($A$6:$A$15,MATCH(2,$H$6:$H$15,0)),"")</f>
        <v>Mobil</v>
      </c>
      <c r="C32" s="11" t="str">
        <f aca="false">IFERROR(INDEX($A$6:$A$15,MATCH(2,$I$6:$I$15,0)),"")</f>
        <v>Mobil</v>
      </c>
    </row>
    <row r="33" customFormat="false" ht="15" hidden="false" customHeight="false" outlineLevel="0" collapsed="false">
      <c r="A33" s="30" t="n">
        <v>3</v>
      </c>
      <c r="B33" s="11" t="str">
        <f aca="false">IFERROR(INDEX($A$6:$A$15,MATCH(3,$H$6:$H$15,0)),"")</f>
        <v>KPR rumah</v>
      </c>
      <c r="C33" s="11" t="str">
        <f aca="false">IFERROR(INDEX($A$6:$A$15,MATCH(3,$I$6:$I$15,0)),"")</f>
        <v>KPR rumah</v>
      </c>
    </row>
    <row r="34" customFormat="false" ht="15" hidden="false" customHeight="false" outlineLevel="0" collapsed="false">
      <c r="A34" s="30" t="n">
        <v>4</v>
      </c>
      <c r="B34" s="11" t="str">
        <f aca="false">IFERROR(INDEX($A$6:$A$15,MATCH(4,$H$6:$H$15,0)),"")</f>
        <v/>
      </c>
      <c r="C34" s="11" t="str">
        <f aca="false">IFERROR(INDEX($A$6:$A$15,MATCH(4,$I$6:$I$15,0)),"")</f>
        <v/>
      </c>
    </row>
    <row r="35" customFormat="false" ht="15" hidden="false" customHeight="false" outlineLevel="0" collapsed="false">
      <c r="A35" s="30" t="n">
        <v>5</v>
      </c>
      <c r="B35" s="11" t="str">
        <f aca="false">IFERROR(INDEX($A$6:$A$15,MATCH(5,$H$6:$H$15,0)),"")</f>
        <v/>
      </c>
      <c r="C35" s="11" t="str">
        <f aca="false">IFERROR(INDEX($A$6:$A$15,MATCH(5,$I$6:$I$15,0)),"")</f>
        <v/>
      </c>
    </row>
    <row r="36" customFormat="false" ht="15" hidden="false" customHeight="false" outlineLevel="0" collapsed="false">
      <c r="A36" s="30" t="n">
        <v>6</v>
      </c>
      <c r="B36" s="11" t="str">
        <f aca="false">IFERROR(INDEX($A$6:$A$15,MATCH(6,$H$6:$H$15,0)),"")</f>
        <v/>
      </c>
      <c r="C36" s="11" t="str">
        <f aca="false">IFERROR(INDEX($A$6:$A$15,MATCH(6,$I$6:$I$15,0)),"")</f>
        <v/>
      </c>
    </row>
    <row r="37" customFormat="false" ht="15" hidden="false" customHeight="false" outlineLevel="0" collapsed="false">
      <c r="A37" s="30" t="n">
        <v>7</v>
      </c>
      <c r="B37" s="11" t="str">
        <f aca="false">IFERROR(INDEX($A$6:$A$15,MATCH(7,$H$6:$H$15,0)),"")</f>
        <v/>
      </c>
      <c r="C37" s="11" t="str">
        <f aca="false">IFERROR(INDEX($A$6:$A$15,MATCH(7,$I$6:$I$15,0)),"")</f>
        <v/>
      </c>
    </row>
    <row r="38" customFormat="false" ht="15" hidden="false" customHeight="false" outlineLevel="0" collapsed="false">
      <c r="A38" s="30" t="n">
        <v>8</v>
      </c>
      <c r="B38" s="11" t="str">
        <f aca="false">IFERROR(INDEX($A$6:$A$15,MATCH(8,$H$6:$H$15,0)),"")</f>
        <v/>
      </c>
      <c r="C38" s="11" t="str">
        <f aca="false">IFERROR(INDEX($A$6:$A$15,MATCH(8,$I$6:$I$15,0)),"")</f>
        <v/>
      </c>
    </row>
    <row r="39" customFormat="false" ht="15" hidden="false" customHeight="false" outlineLevel="0" collapsed="false">
      <c r="A39" s="30" t="n">
        <v>9</v>
      </c>
      <c r="B39" s="11" t="str">
        <f aca="false">IFERROR(INDEX($A$6:$A$15,MATCH(9,$H$6:$H$15,0)),"")</f>
        <v/>
      </c>
      <c r="C39" s="11" t="str">
        <f aca="false">IFERROR(INDEX($A$6:$A$15,MATCH(9,$I$6:$I$15,0)),"")</f>
        <v/>
      </c>
    </row>
    <row r="40" customFormat="false" ht="15" hidden="false" customHeight="false" outlineLevel="0" collapsed="false">
      <c r="A40" s="30" t="n">
        <v>10</v>
      </c>
      <c r="B40" s="11" t="str">
        <f aca="false">IFERROR(INDEX($A$6:$A$15,MATCH(10,$H$6:$H$15,0)),"")</f>
        <v/>
      </c>
      <c r="C40" s="11" t="str">
        <f aca="false">IFERROR(INDEX($A$6:$A$15,MATCH(10,$I$6:$I$15,0)),"")</f>
        <v/>
      </c>
    </row>
    <row r="42" customFormat="false" ht="15" hidden="false" customHeight="false" outlineLevel="0" collapsed="false">
      <c r="A42" s="2" t="s">
        <v>150</v>
      </c>
    </row>
    <row r="43" customFormat="false" ht="15" hidden="false" customHeight="false" outlineLevel="0" collapsed="false">
      <c r="A43" s="2" t="s">
        <v>151</v>
      </c>
    </row>
    <row r="44" customFormat="false" ht="15" hidden="false" customHeight="false" outlineLevel="0" collapsed="false">
      <c r="A44" s="2" t="s">
        <v>152</v>
      </c>
    </row>
    <row r="45" customFormat="false" ht="15" hidden="false" customHeight="false" outlineLevel="0" collapsed="false">
      <c r="A45" s="2" t="s">
        <v>153</v>
      </c>
    </row>
    <row r="46" customFormat="false" ht="15" hidden="false" customHeight="false" outlineLevel="0" collapsed="false">
      <c r="A46" s="2" t="s">
        <v>154</v>
      </c>
    </row>
  </sheetData>
  <conditionalFormatting sqref="B24">
    <cfRule type="cellIs" priority="2" operator="equal" aboveAverage="0" equalAverage="0" bottom="0" percent="0" rank="0" text="" dxfId="2">
      <formula>"Aman"</formula>
    </cfRule>
    <cfRule type="cellIs" priority="3" operator="equal" aboveAverage="0" equalAverage="0" bottom="0" percent="0" rank="0" text="" dxfId="1">
      <formula>"Waspada"</formula>
    </cfRule>
    <cfRule type="cellIs" priority="4" operator="equal" aboveAverage="0" equalAverage="0" bottom="0" percent="0" rank="0" text="" dxfId="0">
      <formula>"Berat"</formula>
    </cfRule>
  </conditionalFormatting>
  <dataValidations count="1">
    <dataValidation allowBlank="true" errorStyle="warning" operator="between" showDropDown="false" showErrorMessage="true" showInputMessage="false" sqref="B6:B15" type="list">
      <formula1>"KPR,Kendaraan,Kartu kredit,PayLater,KTA/Pinjaman,Lainnya"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2026-10-18T13:02:13Z</dcterms:created>
  <dc:creator>openpyxl</dc:creator>
  <dc:description/>
  <dc:language>en-US</dc:language>
  <cp:lastModifiedBy/>
  <dcterms:modified xsi:type="dcterms:W3CDTF">2026-10-18T13:02:30Z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